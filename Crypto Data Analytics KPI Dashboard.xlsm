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tables/table3.xml" ContentType="application/vnd.openxmlformats-officedocument.spreadsheetml.table+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DELL\Downloads\"/>
    </mc:Choice>
  </mc:AlternateContent>
  <xr:revisionPtr revIDLastSave="0" documentId="13_ncr:1_{EEE6C995-0B02-4609-9AC0-F3DBAEFF4029}" xr6:coauthVersionLast="47" xr6:coauthVersionMax="47" xr10:uidLastSave="{00000000-0000-0000-0000-000000000000}"/>
  <bookViews>
    <workbookView xWindow="-110" yWindow="-110" windowWidth="19420" windowHeight="10300" firstSheet="1" activeTab="2" xr2:uid="{2849517C-35B2-4697-9992-F4BA45EE5A17}"/>
  </bookViews>
  <sheets>
    <sheet name="Raw data" sheetId="1" r:id="rId1"/>
    <sheet name="KPI Dashboard (Task 1)" sheetId="2" r:id="rId2"/>
    <sheet name="Analysis + Chart (Task 2)" sheetId="3" r:id="rId3"/>
    <sheet name="Price Change Analysis (Task 3)" sheetId="4" r:id="rId4"/>
    <sheet name="Liquidity Analysis (Task 4)" sheetId="5" r:id="rId5"/>
    <sheet name=" Coin Comparison (Task 5) " sheetId="6" r:id="rId6"/>
    <sheet name="Liquidity Pie (Task 6)" sheetId="8" r:id="rId7"/>
  </sheets>
  <definedNames>
    <definedName name="_xlnm._FilterDatabase" localSheetId="4" hidden="1">'Liquidity Analysis (Task 4)'!$A$1:$G$201</definedName>
    <definedName name="_xlnm._FilterDatabase" localSheetId="6" hidden="1">'Liquidity Pie (Task 6)'!$A$1:$E$201</definedName>
    <definedName name="Slicer_Price_Range">#N/A</definedName>
    <definedName name="Slicer_Price_Range_2">#N/A</definedName>
  </definedNames>
  <calcPr calcId="191029"/>
  <pivotCaches>
    <pivotCache cacheId="0"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0"/>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01" i="8" l="1"/>
  <c r="E201" i="8"/>
  <c r="E196" i="8"/>
  <c r="E197" i="8"/>
  <c r="E198" i="8"/>
  <c r="E199" i="8"/>
  <c r="E200" i="8"/>
  <c r="E2" i="8"/>
  <c r="H7" i="8" s="1"/>
  <c r="E3" i="8"/>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153" i="8"/>
  <c r="E154" i="8"/>
  <c r="E155" i="8"/>
  <c r="E156" i="8"/>
  <c r="E157" i="8"/>
  <c r="E158" i="8"/>
  <c r="E159" i="8"/>
  <c r="E160" i="8"/>
  <c r="E161" i="8"/>
  <c r="E162" i="8"/>
  <c r="E163" i="8"/>
  <c r="E164" i="8"/>
  <c r="E165" i="8"/>
  <c r="E166" i="8"/>
  <c r="E167" i="8"/>
  <c r="E168" i="8"/>
  <c r="E169" i="8"/>
  <c r="E170" i="8"/>
  <c r="E171" i="8"/>
  <c r="E172" i="8"/>
  <c r="E173" i="8"/>
  <c r="E174" i="8"/>
  <c r="E175" i="8"/>
  <c r="E176" i="8"/>
  <c r="E177" i="8"/>
  <c r="E178" i="8"/>
  <c r="E179" i="8"/>
  <c r="E180" i="8"/>
  <c r="E181" i="8"/>
  <c r="E182" i="8"/>
  <c r="E183" i="8"/>
  <c r="E184" i="8"/>
  <c r="E185" i="8"/>
  <c r="E186" i="8"/>
  <c r="E187" i="8"/>
  <c r="E188" i="8"/>
  <c r="E189" i="8"/>
  <c r="E190" i="8"/>
  <c r="E191" i="8"/>
  <c r="E192" i="8"/>
  <c r="E193" i="8"/>
  <c r="E194" i="8"/>
  <c r="E195" i="8"/>
  <c r="D7" i="8"/>
  <c r="D8" i="8"/>
  <c r="D6" i="8"/>
  <c r="D5" i="8"/>
  <c r="D11" i="8"/>
  <c r="D9" i="8"/>
  <c r="D10" i="8"/>
  <c r="D15" i="8"/>
  <c r="D24" i="8"/>
  <c r="D13" i="8"/>
  <c r="D30" i="8"/>
  <c r="D31" i="8"/>
  <c r="D21" i="8"/>
  <c r="D26" i="8"/>
  <c r="D14" i="8"/>
  <c r="D23" i="8"/>
  <c r="D16" i="8"/>
  <c r="D17" i="8"/>
  <c r="D27" i="8"/>
  <c r="D118" i="8"/>
  <c r="D69" i="8"/>
  <c r="D42" i="8"/>
  <c r="D75" i="8"/>
  <c r="D62" i="8"/>
  <c r="D141" i="8"/>
  <c r="D150" i="8"/>
  <c r="D106" i="8"/>
  <c r="D50" i="8"/>
  <c r="D61" i="8"/>
  <c r="D55" i="8"/>
  <c r="D45" i="8"/>
  <c r="D43" i="8"/>
  <c r="D33" i="8"/>
  <c r="D18" i="8"/>
  <c r="D95" i="8"/>
  <c r="D41" i="8"/>
  <c r="D37" i="8"/>
  <c r="D22" i="8"/>
  <c r="D116" i="8"/>
  <c r="D29" i="8"/>
  <c r="D51" i="8"/>
  <c r="D92" i="8"/>
  <c r="D34" i="8"/>
  <c r="D40" i="8"/>
  <c r="D32" i="8"/>
  <c r="D12" i="8"/>
  <c r="D178" i="8"/>
  <c r="D28" i="8"/>
  <c r="D119" i="8"/>
  <c r="D105" i="8"/>
  <c r="D44" i="8"/>
  <c r="D71" i="8"/>
  <c r="D25" i="8"/>
  <c r="D90" i="8"/>
  <c r="D60" i="8"/>
  <c r="D160" i="8"/>
  <c r="D174" i="8"/>
  <c r="D176" i="8"/>
  <c r="D82" i="8"/>
  <c r="D48" i="8"/>
  <c r="D85" i="8"/>
  <c r="D129" i="8"/>
  <c r="D103" i="8"/>
  <c r="D65" i="8"/>
  <c r="D131" i="8"/>
  <c r="D58" i="8"/>
  <c r="D35" i="8"/>
  <c r="D130" i="8"/>
  <c r="D79" i="8"/>
  <c r="D20" i="8"/>
  <c r="D46" i="8"/>
  <c r="D54" i="8"/>
  <c r="D64" i="8"/>
  <c r="D19" i="8"/>
  <c r="D76" i="8"/>
  <c r="D56" i="8"/>
  <c r="D47" i="8"/>
  <c r="D70" i="8"/>
  <c r="D143" i="8"/>
  <c r="D123" i="8"/>
  <c r="D128" i="8"/>
  <c r="D97" i="8"/>
  <c r="D191" i="8"/>
  <c r="D3" i="8"/>
  <c r="D4" i="8"/>
  <c r="D72" i="8"/>
  <c r="D192" i="8"/>
  <c r="D67" i="8"/>
  <c r="D39" i="8"/>
  <c r="D52" i="8"/>
  <c r="D102" i="8"/>
  <c r="D139" i="8"/>
  <c r="D125" i="8"/>
  <c r="D57" i="8"/>
  <c r="D63" i="8"/>
  <c r="D87" i="8"/>
  <c r="D83" i="8"/>
  <c r="D66" i="8"/>
  <c r="D152" i="8"/>
  <c r="D113" i="8"/>
  <c r="D182" i="8"/>
  <c r="D181" i="8"/>
  <c r="D112" i="8"/>
  <c r="D74" i="8"/>
  <c r="D68" i="8"/>
  <c r="D110" i="8"/>
  <c r="D91" i="8"/>
  <c r="D84" i="8"/>
  <c r="D115" i="8"/>
  <c r="D135" i="8"/>
  <c r="D197" i="8"/>
  <c r="D38" i="8"/>
  <c r="D163" i="8"/>
  <c r="D94" i="8"/>
  <c r="D36" i="8"/>
  <c r="D133" i="8"/>
  <c r="D124" i="8"/>
  <c r="D81" i="8"/>
  <c r="D137" i="8"/>
  <c r="D195" i="8"/>
  <c r="D59" i="8"/>
  <c r="D140" i="8"/>
  <c r="D145" i="8"/>
  <c r="D170" i="8"/>
  <c r="D78" i="8"/>
  <c r="D117" i="8"/>
  <c r="D199" i="8"/>
  <c r="D108" i="8"/>
  <c r="D73" i="8"/>
  <c r="D99" i="8"/>
  <c r="D100" i="8"/>
  <c r="D96" i="8"/>
  <c r="D148" i="8"/>
  <c r="D151" i="8"/>
  <c r="D120" i="8"/>
  <c r="D111" i="8"/>
  <c r="D175" i="8"/>
  <c r="D122" i="8"/>
  <c r="D164" i="8"/>
  <c r="D138" i="8"/>
  <c r="D144" i="8"/>
  <c r="D53" i="8"/>
  <c r="D49" i="8"/>
  <c r="D107" i="8"/>
  <c r="D168" i="8"/>
  <c r="D177" i="8"/>
  <c r="D188" i="8"/>
  <c r="D180" i="8"/>
  <c r="D162" i="8"/>
  <c r="D183" i="8"/>
  <c r="D146" i="8"/>
  <c r="D165" i="8"/>
  <c r="D155" i="8"/>
  <c r="D187" i="8"/>
  <c r="D186" i="8"/>
  <c r="D134" i="8"/>
  <c r="D147" i="8"/>
  <c r="D132" i="8"/>
  <c r="D98" i="8"/>
  <c r="D109" i="8"/>
  <c r="D89" i="8"/>
  <c r="D198" i="8"/>
  <c r="D158" i="8"/>
  <c r="D189" i="8"/>
  <c r="D142" i="8"/>
  <c r="D190" i="8"/>
  <c r="D127" i="8"/>
  <c r="D166" i="8"/>
  <c r="D171" i="8"/>
  <c r="D80" i="8"/>
  <c r="D101" i="8"/>
  <c r="D196" i="8"/>
  <c r="D173" i="8"/>
  <c r="D126" i="8"/>
  <c r="D184" i="8"/>
  <c r="D154" i="8"/>
  <c r="D104" i="8"/>
  <c r="D167" i="8"/>
  <c r="D157" i="8"/>
  <c r="D159" i="8"/>
  <c r="D193" i="8"/>
  <c r="D136" i="8"/>
  <c r="D86" i="8"/>
  <c r="D156" i="8"/>
  <c r="D153" i="8"/>
  <c r="D169" i="8"/>
  <c r="D200" i="8"/>
  <c r="D114" i="8"/>
  <c r="D161" i="8"/>
  <c r="D179" i="8"/>
  <c r="D149" i="8"/>
  <c r="D93" i="8"/>
  <c r="D194" i="8"/>
  <c r="D121" i="8"/>
  <c r="D88" i="8"/>
  <c r="D172" i="8"/>
  <c r="D77" i="8"/>
  <c r="D185" i="8"/>
  <c r="D2" i="8"/>
  <c r="J2" i="6" l="1"/>
  <c r="J6" i="6"/>
  <c r="J5" i="6"/>
  <c r="J4" i="6"/>
  <c r="J3" i="6"/>
  <c r="G3" i="5"/>
  <c r="G2" i="5"/>
  <c r="G23" i="5"/>
  <c r="G24" i="5"/>
  <c r="G25" i="5"/>
  <c r="G48" i="5"/>
  <c r="G78" i="5"/>
  <c r="G28" i="5"/>
  <c r="G29" i="5"/>
  <c r="G30" i="5"/>
  <c r="G31" i="5"/>
  <c r="G57" i="5"/>
  <c r="G33" i="5"/>
  <c r="G34" i="5"/>
  <c r="G49" i="5"/>
  <c r="G36" i="5"/>
  <c r="G37" i="5"/>
  <c r="G38" i="5"/>
  <c r="G99" i="5"/>
  <c r="G40" i="5"/>
  <c r="G41" i="5"/>
  <c r="G27" i="5"/>
  <c r="G118" i="5"/>
  <c r="G44" i="5"/>
  <c r="G45" i="5"/>
  <c r="G95" i="5"/>
  <c r="G43" i="5"/>
  <c r="G47" i="5"/>
  <c r="G42" i="5"/>
  <c r="G50" i="5"/>
  <c r="G51" i="5"/>
  <c r="G52" i="5"/>
  <c r="G53" i="5"/>
  <c r="G109" i="5"/>
  <c r="G55" i="5"/>
  <c r="G56" i="5"/>
  <c r="G35" i="5"/>
  <c r="G91" i="5"/>
  <c r="G59" i="5"/>
  <c r="G60" i="5"/>
  <c r="G170" i="5"/>
  <c r="G62" i="5"/>
  <c r="G63" i="5"/>
  <c r="G54" i="5"/>
  <c r="G86" i="5"/>
  <c r="G66" i="5"/>
  <c r="G103" i="5"/>
  <c r="G64" i="5"/>
  <c r="G69" i="5"/>
  <c r="G70" i="5"/>
  <c r="G71" i="5"/>
  <c r="G72" i="5"/>
  <c r="G73" i="5"/>
  <c r="G74" i="5"/>
  <c r="G75" i="5"/>
  <c r="G76" i="5"/>
  <c r="G77" i="5"/>
  <c r="G26" i="5"/>
  <c r="G79" i="5"/>
  <c r="G58" i="5"/>
  <c r="G81" i="5"/>
  <c r="G82" i="5"/>
  <c r="G83" i="5"/>
  <c r="G84" i="5"/>
  <c r="G133" i="5"/>
  <c r="G100" i="5"/>
  <c r="G195" i="5"/>
  <c r="G88" i="5"/>
  <c r="G89" i="5"/>
  <c r="G67" i="5"/>
  <c r="G46" i="5"/>
  <c r="G92" i="5"/>
  <c r="G93" i="5"/>
  <c r="G139" i="5"/>
  <c r="G126" i="5"/>
  <c r="G61" i="5"/>
  <c r="G97" i="5"/>
  <c r="G90" i="5"/>
  <c r="G80" i="5"/>
  <c r="G65" i="5"/>
  <c r="G101" i="5"/>
  <c r="G113" i="5"/>
  <c r="G183" i="5"/>
  <c r="G104" i="5"/>
  <c r="G111" i="5"/>
  <c r="G106" i="5"/>
  <c r="G107" i="5"/>
  <c r="G108" i="5"/>
  <c r="G94" i="5"/>
  <c r="G85" i="5"/>
  <c r="G116" i="5"/>
  <c r="G112" i="5"/>
  <c r="G114" i="5"/>
  <c r="G115" i="5"/>
  <c r="G98" i="5"/>
  <c r="G117" i="5"/>
  <c r="G136" i="5"/>
  <c r="G124" i="5"/>
  <c r="G120" i="5"/>
  <c r="G121" i="5"/>
  <c r="G122" i="5"/>
  <c r="G123" i="5"/>
  <c r="G141" i="5"/>
  <c r="G125" i="5"/>
  <c r="G168" i="5"/>
  <c r="G127" i="5"/>
  <c r="G128" i="5"/>
  <c r="G129" i="5"/>
  <c r="G130" i="5"/>
  <c r="G68" i="5"/>
  <c r="G132" i="5"/>
  <c r="G102" i="5"/>
  <c r="G134" i="5"/>
  <c r="G152" i="5"/>
  <c r="G153" i="5"/>
  <c r="G137" i="5"/>
  <c r="G110" i="5"/>
  <c r="G171" i="5"/>
  <c r="G140" i="5"/>
  <c r="G159" i="5"/>
  <c r="G138" i="5"/>
  <c r="G143" i="5"/>
  <c r="G144" i="5"/>
  <c r="G145" i="5"/>
  <c r="G146" i="5"/>
  <c r="G147" i="5"/>
  <c r="G179" i="5"/>
  <c r="G190" i="5"/>
  <c r="G150" i="5"/>
  <c r="G151" i="5"/>
  <c r="G185" i="5"/>
  <c r="G148" i="5"/>
  <c r="G160" i="5"/>
  <c r="G155" i="5"/>
  <c r="G187" i="5"/>
  <c r="G186" i="5"/>
  <c r="G158" i="5"/>
  <c r="G149" i="5"/>
  <c r="G135" i="5"/>
  <c r="G161" i="5"/>
  <c r="G162" i="5"/>
  <c r="G163" i="5"/>
  <c r="G164" i="5"/>
  <c r="G165" i="5"/>
  <c r="G166" i="5"/>
  <c r="G142" i="5"/>
  <c r="G193" i="5"/>
  <c r="G131" i="5"/>
  <c r="G167" i="5"/>
  <c r="G169" i="5"/>
  <c r="G172" i="5"/>
  <c r="G173" i="5"/>
  <c r="G174" i="5"/>
  <c r="G175" i="5"/>
  <c r="G176" i="5"/>
  <c r="G177" i="5"/>
  <c r="G178" i="5"/>
  <c r="G105" i="5"/>
  <c r="G180" i="5"/>
  <c r="G181" i="5"/>
  <c r="G157" i="5"/>
  <c r="G197" i="5"/>
  <c r="G184" i="5"/>
  <c r="G87" i="5"/>
  <c r="G156" i="5"/>
  <c r="G154" i="5"/>
  <c r="G188" i="5"/>
  <c r="G189" i="5"/>
  <c r="G191" i="5"/>
  <c r="G192" i="5"/>
  <c r="G182" i="5"/>
  <c r="G194" i="5"/>
  <c r="G96" i="5"/>
  <c r="G196" i="5"/>
  <c r="G119" i="5"/>
  <c r="G198" i="5"/>
  <c r="G199" i="5"/>
  <c r="G200" i="5"/>
  <c r="G201" i="5"/>
  <c r="G16" i="5"/>
  <c r="G17" i="5"/>
  <c r="G18" i="5"/>
  <c r="G19" i="5"/>
  <c r="G32" i="5"/>
  <c r="G21" i="5"/>
  <c r="G22" i="5"/>
  <c r="G20" i="5"/>
  <c r="G12" i="5"/>
  <c r="G13" i="5"/>
  <c r="G14" i="5"/>
  <c r="G9" i="5"/>
  <c r="G7" i="5"/>
  <c r="G4" i="5"/>
  <c r="G5" i="5"/>
  <c r="G39" i="5"/>
  <c r="G15" i="5"/>
  <c r="G10" i="5"/>
  <c r="G11" i="5"/>
  <c r="G8" i="5"/>
  <c r="G6" i="5"/>
  <c r="F8" i="5"/>
  <c r="F4" i="5"/>
  <c r="F5" i="5"/>
  <c r="F11" i="5"/>
  <c r="F7" i="5"/>
  <c r="F10" i="5"/>
  <c r="F9" i="5"/>
  <c r="F15" i="5"/>
  <c r="F20" i="5"/>
  <c r="F12" i="5"/>
  <c r="F13" i="5"/>
  <c r="F14" i="5"/>
  <c r="F39" i="5"/>
  <c r="F16" i="5"/>
  <c r="F17" i="5"/>
  <c r="F18" i="5"/>
  <c r="F19" i="5"/>
  <c r="F32" i="5"/>
  <c r="F21" i="5"/>
  <c r="F22" i="5"/>
  <c r="F23" i="5"/>
  <c r="F24" i="5"/>
  <c r="F25" i="5"/>
  <c r="F48" i="5"/>
  <c r="F78" i="5"/>
  <c r="F28" i="5"/>
  <c r="F29" i="5"/>
  <c r="F30" i="5"/>
  <c r="F31" i="5"/>
  <c r="F57" i="5"/>
  <c r="F33" i="5"/>
  <c r="F34" i="5"/>
  <c r="F49" i="5"/>
  <c r="F36" i="5"/>
  <c r="F37" i="5"/>
  <c r="F38" i="5"/>
  <c r="F99" i="5"/>
  <c r="F40" i="5"/>
  <c r="F41" i="5"/>
  <c r="F27" i="5"/>
  <c r="F118" i="5"/>
  <c r="F44" i="5"/>
  <c r="F45" i="5"/>
  <c r="F95" i="5"/>
  <c r="F43" i="5"/>
  <c r="F47" i="5"/>
  <c r="F42" i="5"/>
  <c r="F50" i="5"/>
  <c r="F51" i="5"/>
  <c r="F52" i="5"/>
  <c r="F53" i="5"/>
  <c r="F109" i="5"/>
  <c r="F55" i="5"/>
  <c r="F56" i="5"/>
  <c r="F35" i="5"/>
  <c r="F91" i="5"/>
  <c r="F59" i="5"/>
  <c r="F60" i="5"/>
  <c r="F170" i="5"/>
  <c r="F62" i="5"/>
  <c r="F63" i="5"/>
  <c r="F54" i="5"/>
  <c r="F86" i="5"/>
  <c r="F66" i="5"/>
  <c r="F103" i="5"/>
  <c r="F64" i="5"/>
  <c r="F69" i="5"/>
  <c r="F70" i="5"/>
  <c r="F71" i="5"/>
  <c r="F72" i="5"/>
  <c r="F73" i="5"/>
  <c r="F74" i="5"/>
  <c r="F75" i="5"/>
  <c r="F76" i="5"/>
  <c r="F77" i="5"/>
  <c r="F26" i="5"/>
  <c r="F79" i="5"/>
  <c r="F58" i="5"/>
  <c r="F81" i="5"/>
  <c r="F82" i="5"/>
  <c r="F83" i="5"/>
  <c r="F84" i="5"/>
  <c r="F133" i="5"/>
  <c r="F100" i="5"/>
  <c r="F195" i="5"/>
  <c r="F88" i="5"/>
  <c r="F89" i="5"/>
  <c r="F67" i="5"/>
  <c r="F46" i="5"/>
  <c r="F92" i="5"/>
  <c r="F93" i="5"/>
  <c r="F139" i="5"/>
  <c r="F126" i="5"/>
  <c r="F61" i="5"/>
  <c r="F97" i="5"/>
  <c r="F90" i="5"/>
  <c r="F80" i="5"/>
  <c r="F65" i="5"/>
  <c r="F101" i="5"/>
  <c r="F113" i="5"/>
  <c r="F183" i="5"/>
  <c r="F104" i="5"/>
  <c r="F111" i="5"/>
  <c r="F106" i="5"/>
  <c r="F107" i="5"/>
  <c r="F108" i="5"/>
  <c r="F94" i="5"/>
  <c r="F85" i="5"/>
  <c r="F116" i="5"/>
  <c r="F112" i="5"/>
  <c r="F2" i="5"/>
  <c r="F114" i="5"/>
  <c r="F115" i="5"/>
  <c r="F98" i="5"/>
  <c r="F117" i="5"/>
  <c r="F136" i="5"/>
  <c r="F124" i="5"/>
  <c r="F120" i="5"/>
  <c r="F121" i="5"/>
  <c r="F122" i="5"/>
  <c r="F123" i="5"/>
  <c r="F141" i="5"/>
  <c r="F125" i="5"/>
  <c r="F168" i="5"/>
  <c r="F127" i="5"/>
  <c r="F128" i="5"/>
  <c r="F129" i="5"/>
  <c r="F130" i="5"/>
  <c r="F68" i="5"/>
  <c r="F132" i="5"/>
  <c r="F102" i="5"/>
  <c r="F134" i="5"/>
  <c r="F152" i="5"/>
  <c r="F153" i="5"/>
  <c r="F137" i="5"/>
  <c r="F110" i="5"/>
  <c r="F171" i="5"/>
  <c r="F140" i="5"/>
  <c r="F159" i="5"/>
  <c r="F138" i="5"/>
  <c r="F143" i="5"/>
  <c r="F144" i="5"/>
  <c r="F145" i="5"/>
  <c r="F146" i="5"/>
  <c r="F147" i="5"/>
  <c r="F179" i="5"/>
  <c r="F190" i="5"/>
  <c r="F150" i="5"/>
  <c r="F151" i="5"/>
  <c r="F185" i="5"/>
  <c r="F148" i="5"/>
  <c r="F160" i="5"/>
  <c r="F155" i="5"/>
  <c r="F187" i="5"/>
  <c r="F186" i="5"/>
  <c r="F158" i="5"/>
  <c r="F149" i="5"/>
  <c r="F135" i="5"/>
  <c r="F161" i="5"/>
  <c r="F162" i="5"/>
  <c r="F163" i="5"/>
  <c r="F164" i="5"/>
  <c r="F165" i="5"/>
  <c r="F166" i="5"/>
  <c r="F142" i="5"/>
  <c r="F193" i="5"/>
  <c r="F131" i="5"/>
  <c r="F167" i="5"/>
  <c r="F169" i="5"/>
  <c r="F172" i="5"/>
  <c r="F173" i="5"/>
  <c r="F174" i="5"/>
  <c r="F175" i="5"/>
  <c r="F176" i="5"/>
  <c r="F177" i="5"/>
  <c r="F178" i="5"/>
  <c r="F105" i="5"/>
  <c r="F180" i="5"/>
  <c r="F181" i="5"/>
  <c r="F157" i="5"/>
  <c r="F197" i="5"/>
  <c r="F184" i="5"/>
  <c r="F87" i="5"/>
  <c r="F156" i="5"/>
  <c r="F154" i="5"/>
  <c r="F188" i="5"/>
  <c r="F189" i="5"/>
  <c r="F3" i="5"/>
  <c r="F191" i="5"/>
  <c r="F192" i="5"/>
  <c r="F182" i="5"/>
  <c r="F194" i="5"/>
  <c r="F96" i="5"/>
  <c r="F196" i="5"/>
  <c r="F119" i="5"/>
  <c r="F198" i="5"/>
  <c r="F199" i="5"/>
  <c r="F200" i="5"/>
  <c r="F201" i="5"/>
  <c r="F6" i="5"/>
  <c r="L3"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 i="4"/>
  <c r="K2" i="4"/>
  <c r="K3" i="4"/>
  <c r="K78" i="4"/>
  <c r="K13" i="4"/>
  <c r="K6" i="4"/>
  <c r="K5" i="4"/>
  <c r="K89" i="4"/>
  <c r="K52" i="4"/>
  <c r="K40" i="4"/>
  <c r="K21" i="4"/>
  <c r="K103" i="4"/>
  <c r="K19" i="4"/>
  <c r="K9" i="4"/>
  <c r="K24" i="4"/>
  <c r="K27" i="4"/>
  <c r="K37" i="4"/>
  <c r="K29" i="4"/>
  <c r="K12" i="4"/>
  <c r="K28" i="4"/>
  <c r="K110" i="4"/>
  <c r="K75" i="4"/>
  <c r="K10" i="4"/>
  <c r="K38" i="4"/>
  <c r="K18" i="4"/>
  <c r="K109" i="4"/>
  <c r="K84" i="4"/>
  <c r="K192" i="4"/>
  <c r="K115" i="4"/>
  <c r="K11" i="4"/>
  <c r="K168" i="4"/>
  <c r="K44" i="4"/>
  <c r="K76" i="4"/>
  <c r="K66" i="4"/>
  <c r="K72" i="4"/>
  <c r="K101" i="4"/>
  <c r="K41" i="4"/>
  <c r="K71" i="4"/>
  <c r="K61" i="4"/>
  <c r="K56" i="4"/>
  <c r="K91" i="4"/>
  <c r="K58" i="4"/>
  <c r="K23" i="4"/>
  <c r="K135" i="4"/>
  <c r="K93" i="4"/>
  <c r="K137" i="4"/>
  <c r="K49" i="4"/>
  <c r="K107" i="4"/>
  <c r="K46" i="4"/>
  <c r="K50" i="4"/>
  <c r="K154" i="4"/>
  <c r="K131" i="4"/>
  <c r="K114" i="4"/>
  <c r="K141" i="4"/>
  <c r="K146" i="4"/>
  <c r="K60" i="4"/>
  <c r="K59" i="4"/>
  <c r="K186" i="4"/>
  <c r="K152" i="4"/>
  <c r="K16" i="4"/>
  <c r="K4" i="4"/>
  <c r="K22" i="4"/>
  <c r="K25" i="4"/>
  <c r="K32" i="4"/>
  <c r="K174" i="4"/>
  <c r="K165" i="4"/>
  <c r="K48" i="4"/>
  <c r="K15" i="4"/>
  <c r="K149" i="4"/>
  <c r="K62" i="4"/>
  <c r="K35" i="4"/>
  <c r="K74" i="4"/>
  <c r="K33" i="4"/>
  <c r="K53" i="4"/>
  <c r="K14" i="4"/>
  <c r="K130" i="4"/>
  <c r="K57" i="4"/>
  <c r="K82" i="4"/>
  <c r="K113" i="4"/>
  <c r="K83" i="4"/>
  <c r="K92" i="4"/>
  <c r="K158" i="4"/>
  <c r="K55" i="4"/>
  <c r="K187" i="4"/>
  <c r="K134" i="4"/>
  <c r="K172" i="4"/>
  <c r="K159" i="4"/>
  <c r="K69" i="4"/>
  <c r="K112" i="4"/>
  <c r="K73" i="4"/>
  <c r="K119" i="4"/>
  <c r="K77" i="4"/>
  <c r="K121" i="4"/>
  <c r="K155" i="4"/>
  <c r="K139" i="4"/>
  <c r="K120" i="4"/>
  <c r="K30" i="4"/>
  <c r="K8" i="4"/>
  <c r="K127" i="4"/>
  <c r="K140" i="4"/>
  <c r="K39" i="4"/>
  <c r="K51" i="4"/>
  <c r="K147" i="4"/>
  <c r="K144" i="4"/>
  <c r="K129" i="4"/>
  <c r="K148" i="4"/>
  <c r="K166" i="4"/>
  <c r="K54" i="4"/>
  <c r="K88" i="4"/>
  <c r="K128" i="4"/>
  <c r="K7" i="4"/>
  <c r="K184" i="4"/>
  <c r="K193" i="4"/>
  <c r="K177" i="4"/>
  <c r="K118" i="4"/>
  <c r="K100" i="4"/>
  <c r="K104" i="4"/>
  <c r="K97" i="4"/>
  <c r="K125" i="4"/>
  <c r="K81" i="4"/>
  <c r="K45" i="4"/>
  <c r="K17" i="4"/>
  <c r="K79" i="4"/>
  <c r="K153" i="4"/>
  <c r="K111" i="4"/>
  <c r="K98" i="4"/>
  <c r="K105" i="4"/>
  <c r="K108" i="4"/>
  <c r="K194" i="4"/>
  <c r="K70" i="4"/>
  <c r="K63" i="4"/>
  <c r="K123" i="4"/>
  <c r="K94" i="4"/>
  <c r="K195" i="4"/>
  <c r="K124" i="4"/>
  <c r="K162" i="4"/>
  <c r="K179" i="4"/>
  <c r="K85" i="4"/>
  <c r="K145" i="4"/>
  <c r="K188" i="4"/>
  <c r="K87" i="4"/>
  <c r="K185" i="4"/>
  <c r="K36" i="4"/>
  <c r="K106" i="4"/>
  <c r="K167" i="4"/>
  <c r="K67" i="4"/>
  <c r="K31" i="4"/>
  <c r="K90" i="4"/>
  <c r="K191" i="4"/>
  <c r="K42" i="4"/>
  <c r="K26" i="4"/>
  <c r="K180" i="4"/>
  <c r="K190" i="4"/>
  <c r="K189" i="4"/>
  <c r="K102" i="4"/>
  <c r="K20" i="4"/>
  <c r="K175" i="4"/>
  <c r="K164" i="4"/>
  <c r="K96" i="4"/>
  <c r="K117" i="4"/>
  <c r="K160" i="4"/>
  <c r="K64" i="4"/>
  <c r="K170" i="4"/>
  <c r="K196" i="4"/>
  <c r="K176" i="4"/>
  <c r="K43" i="4"/>
  <c r="K126" i="4"/>
  <c r="K142" i="4"/>
  <c r="K150" i="4"/>
  <c r="K122" i="4"/>
  <c r="K143" i="4"/>
  <c r="K99" i="4"/>
  <c r="K133" i="4"/>
  <c r="K65" i="4"/>
  <c r="K132" i="4"/>
  <c r="K169" i="4"/>
  <c r="K80" i="4"/>
  <c r="K183" i="4"/>
  <c r="K34" i="4"/>
  <c r="K138" i="4"/>
  <c r="K197" i="4"/>
  <c r="K47" i="4"/>
  <c r="K198" i="4"/>
  <c r="K136" i="4"/>
  <c r="K171" i="4"/>
  <c r="K156" i="4"/>
  <c r="K163" i="4"/>
  <c r="K116" i="4"/>
  <c r="K199" i="4"/>
  <c r="K200" i="4"/>
  <c r="K173" i="4"/>
  <c r="K182" i="4"/>
  <c r="K161" i="4"/>
  <c r="K178" i="4"/>
  <c r="K181" i="4"/>
  <c r="K68" i="4"/>
  <c r="K201" i="4"/>
  <c r="K151" i="4"/>
  <c r="K95" i="4"/>
  <c r="K157" i="4"/>
  <c r="K86" i="4"/>
  <c r="I2" i="4"/>
  <c r="J2" i="4" s="1"/>
  <c r="I3" i="4"/>
  <c r="J3" i="4" s="1"/>
  <c r="I78" i="4"/>
  <c r="J78" i="4" s="1"/>
  <c r="I13" i="4"/>
  <c r="J13" i="4" s="1"/>
  <c r="I6" i="4"/>
  <c r="J6" i="4" s="1"/>
  <c r="I5" i="4"/>
  <c r="J5" i="4" s="1"/>
  <c r="I89" i="4"/>
  <c r="J89" i="4" s="1"/>
  <c r="I52" i="4"/>
  <c r="J52" i="4" s="1"/>
  <c r="I40" i="4"/>
  <c r="J40" i="4" s="1"/>
  <c r="I21" i="4"/>
  <c r="J21" i="4" s="1"/>
  <c r="I103" i="4"/>
  <c r="J103" i="4" s="1"/>
  <c r="I19" i="4"/>
  <c r="J19" i="4" s="1"/>
  <c r="I9" i="4"/>
  <c r="J9" i="4" s="1"/>
  <c r="I24" i="4"/>
  <c r="J24" i="4" s="1"/>
  <c r="I27" i="4"/>
  <c r="J27" i="4" s="1"/>
  <c r="I37" i="4"/>
  <c r="J37" i="4" s="1"/>
  <c r="I29" i="4"/>
  <c r="J29" i="4" s="1"/>
  <c r="I12" i="4"/>
  <c r="J12" i="4" s="1"/>
  <c r="I28" i="4"/>
  <c r="J28" i="4" s="1"/>
  <c r="I110" i="4"/>
  <c r="J110" i="4" s="1"/>
  <c r="I75" i="4"/>
  <c r="J75" i="4" s="1"/>
  <c r="I10" i="4"/>
  <c r="J10" i="4" s="1"/>
  <c r="I38" i="4"/>
  <c r="J38" i="4" s="1"/>
  <c r="I18" i="4"/>
  <c r="J18" i="4" s="1"/>
  <c r="I109" i="4"/>
  <c r="J109" i="4" s="1"/>
  <c r="I84" i="4"/>
  <c r="J84" i="4" s="1"/>
  <c r="I192" i="4"/>
  <c r="J192" i="4" s="1"/>
  <c r="I115" i="4"/>
  <c r="J115" i="4" s="1"/>
  <c r="I11" i="4"/>
  <c r="J11" i="4" s="1"/>
  <c r="I168" i="4"/>
  <c r="J168" i="4" s="1"/>
  <c r="I44" i="4"/>
  <c r="J44" i="4" s="1"/>
  <c r="I76" i="4"/>
  <c r="J76" i="4" s="1"/>
  <c r="I66" i="4"/>
  <c r="J66" i="4" s="1"/>
  <c r="I72" i="4"/>
  <c r="J72" i="4" s="1"/>
  <c r="I101" i="4"/>
  <c r="J101" i="4" s="1"/>
  <c r="I41" i="4"/>
  <c r="J41" i="4" s="1"/>
  <c r="I71" i="4"/>
  <c r="J71" i="4" s="1"/>
  <c r="I61" i="4"/>
  <c r="J61" i="4" s="1"/>
  <c r="I56" i="4"/>
  <c r="J56" i="4" s="1"/>
  <c r="I91" i="4"/>
  <c r="J91" i="4" s="1"/>
  <c r="I58" i="4"/>
  <c r="J58" i="4" s="1"/>
  <c r="I23" i="4"/>
  <c r="J23" i="4" s="1"/>
  <c r="I135" i="4"/>
  <c r="J135" i="4" s="1"/>
  <c r="I93" i="4"/>
  <c r="J93" i="4" s="1"/>
  <c r="I137" i="4"/>
  <c r="J137" i="4" s="1"/>
  <c r="I49" i="4"/>
  <c r="J49" i="4" s="1"/>
  <c r="I107" i="4"/>
  <c r="J107" i="4" s="1"/>
  <c r="I46" i="4"/>
  <c r="J46" i="4" s="1"/>
  <c r="I50" i="4"/>
  <c r="J50" i="4" s="1"/>
  <c r="I154" i="4"/>
  <c r="J154" i="4" s="1"/>
  <c r="I131" i="4"/>
  <c r="J131" i="4" s="1"/>
  <c r="I114" i="4"/>
  <c r="J114" i="4" s="1"/>
  <c r="I141" i="4"/>
  <c r="J141" i="4" s="1"/>
  <c r="I146" i="4"/>
  <c r="J146" i="4" s="1"/>
  <c r="I60" i="4"/>
  <c r="J60" i="4" s="1"/>
  <c r="I59" i="4"/>
  <c r="J59" i="4" s="1"/>
  <c r="I186" i="4"/>
  <c r="J186" i="4" s="1"/>
  <c r="I152" i="4"/>
  <c r="J152" i="4" s="1"/>
  <c r="I16" i="4"/>
  <c r="J16" i="4" s="1"/>
  <c r="I4" i="4"/>
  <c r="J4" i="4" s="1"/>
  <c r="I22" i="4"/>
  <c r="J22" i="4" s="1"/>
  <c r="I25" i="4"/>
  <c r="J25" i="4" s="1"/>
  <c r="I32" i="4"/>
  <c r="J32" i="4" s="1"/>
  <c r="I174" i="4"/>
  <c r="J174" i="4" s="1"/>
  <c r="I165" i="4"/>
  <c r="J165" i="4" s="1"/>
  <c r="I48" i="4"/>
  <c r="J48" i="4" s="1"/>
  <c r="I15" i="4"/>
  <c r="J15" i="4" s="1"/>
  <c r="I149" i="4"/>
  <c r="J149" i="4" s="1"/>
  <c r="I62" i="4"/>
  <c r="J62" i="4" s="1"/>
  <c r="I35" i="4"/>
  <c r="J35" i="4" s="1"/>
  <c r="I74" i="4"/>
  <c r="J74" i="4" s="1"/>
  <c r="I33" i="4"/>
  <c r="J33" i="4" s="1"/>
  <c r="I53" i="4"/>
  <c r="J53" i="4" s="1"/>
  <c r="I14" i="4"/>
  <c r="J14" i="4" s="1"/>
  <c r="I130" i="4"/>
  <c r="J130" i="4" s="1"/>
  <c r="I57" i="4"/>
  <c r="J57" i="4" s="1"/>
  <c r="I82" i="4"/>
  <c r="J82" i="4" s="1"/>
  <c r="I113" i="4"/>
  <c r="J113" i="4" s="1"/>
  <c r="I83" i="4"/>
  <c r="J83" i="4" s="1"/>
  <c r="I92" i="4"/>
  <c r="J92" i="4" s="1"/>
  <c r="I158" i="4"/>
  <c r="J158" i="4" s="1"/>
  <c r="I55" i="4"/>
  <c r="J55" i="4" s="1"/>
  <c r="I187" i="4"/>
  <c r="J187" i="4" s="1"/>
  <c r="I134" i="4"/>
  <c r="J134" i="4" s="1"/>
  <c r="I172" i="4"/>
  <c r="J172" i="4" s="1"/>
  <c r="I159" i="4"/>
  <c r="J159" i="4" s="1"/>
  <c r="I69" i="4"/>
  <c r="J69" i="4" s="1"/>
  <c r="I112" i="4"/>
  <c r="J112" i="4" s="1"/>
  <c r="I73" i="4"/>
  <c r="J73" i="4" s="1"/>
  <c r="I119" i="4"/>
  <c r="J119" i="4" s="1"/>
  <c r="I77" i="4"/>
  <c r="J77" i="4" s="1"/>
  <c r="I121" i="4"/>
  <c r="J121" i="4" s="1"/>
  <c r="I155" i="4"/>
  <c r="J155" i="4" s="1"/>
  <c r="I139" i="4"/>
  <c r="J139" i="4" s="1"/>
  <c r="I120" i="4"/>
  <c r="J120" i="4" s="1"/>
  <c r="I30" i="4"/>
  <c r="J30" i="4" s="1"/>
  <c r="I8" i="4"/>
  <c r="J8" i="4" s="1"/>
  <c r="I127" i="4"/>
  <c r="J127" i="4" s="1"/>
  <c r="I140" i="4"/>
  <c r="J140" i="4" s="1"/>
  <c r="I39" i="4"/>
  <c r="J39" i="4" s="1"/>
  <c r="I51" i="4"/>
  <c r="J51" i="4" s="1"/>
  <c r="I147" i="4"/>
  <c r="J147" i="4" s="1"/>
  <c r="I144" i="4"/>
  <c r="J144" i="4" s="1"/>
  <c r="I129" i="4"/>
  <c r="J129" i="4" s="1"/>
  <c r="I148" i="4"/>
  <c r="J148" i="4" s="1"/>
  <c r="I166" i="4"/>
  <c r="J166" i="4" s="1"/>
  <c r="I54" i="4"/>
  <c r="J54" i="4" s="1"/>
  <c r="I88" i="4"/>
  <c r="J88" i="4" s="1"/>
  <c r="I128" i="4"/>
  <c r="J128" i="4" s="1"/>
  <c r="I7" i="4"/>
  <c r="J7" i="4" s="1"/>
  <c r="I184" i="4"/>
  <c r="J184" i="4" s="1"/>
  <c r="I193" i="4"/>
  <c r="J193" i="4" s="1"/>
  <c r="I177" i="4"/>
  <c r="J177" i="4" s="1"/>
  <c r="I118" i="4"/>
  <c r="J118" i="4" s="1"/>
  <c r="I100" i="4"/>
  <c r="J100" i="4" s="1"/>
  <c r="I104" i="4"/>
  <c r="J104" i="4" s="1"/>
  <c r="I97" i="4"/>
  <c r="J97" i="4" s="1"/>
  <c r="I125" i="4"/>
  <c r="J125" i="4" s="1"/>
  <c r="I81" i="4"/>
  <c r="J81" i="4" s="1"/>
  <c r="I45" i="4"/>
  <c r="J45" i="4" s="1"/>
  <c r="I17" i="4"/>
  <c r="J17" i="4" s="1"/>
  <c r="I79" i="4"/>
  <c r="J79" i="4" s="1"/>
  <c r="I153" i="4"/>
  <c r="J153" i="4" s="1"/>
  <c r="I111" i="4"/>
  <c r="J111" i="4" s="1"/>
  <c r="I98" i="4"/>
  <c r="J98" i="4" s="1"/>
  <c r="I105" i="4"/>
  <c r="J105" i="4" s="1"/>
  <c r="I108" i="4"/>
  <c r="J108" i="4" s="1"/>
  <c r="I194" i="4"/>
  <c r="J194" i="4" s="1"/>
  <c r="I70" i="4"/>
  <c r="J70" i="4" s="1"/>
  <c r="I63" i="4"/>
  <c r="J63" i="4" s="1"/>
  <c r="I123" i="4"/>
  <c r="J123" i="4" s="1"/>
  <c r="I94" i="4"/>
  <c r="J94" i="4" s="1"/>
  <c r="I195" i="4"/>
  <c r="J195" i="4" s="1"/>
  <c r="I124" i="4"/>
  <c r="J124" i="4" s="1"/>
  <c r="I162" i="4"/>
  <c r="J162" i="4" s="1"/>
  <c r="I179" i="4"/>
  <c r="J179" i="4" s="1"/>
  <c r="I85" i="4"/>
  <c r="J85" i="4" s="1"/>
  <c r="I145" i="4"/>
  <c r="J145" i="4" s="1"/>
  <c r="I188" i="4"/>
  <c r="J188" i="4" s="1"/>
  <c r="I87" i="4"/>
  <c r="J87" i="4" s="1"/>
  <c r="I185" i="4"/>
  <c r="J185" i="4" s="1"/>
  <c r="I36" i="4"/>
  <c r="J36" i="4" s="1"/>
  <c r="I106" i="4"/>
  <c r="J106" i="4" s="1"/>
  <c r="I167" i="4"/>
  <c r="J167" i="4" s="1"/>
  <c r="I67" i="4"/>
  <c r="J67" i="4" s="1"/>
  <c r="I31" i="4"/>
  <c r="J31" i="4" s="1"/>
  <c r="I90" i="4"/>
  <c r="J90" i="4" s="1"/>
  <c r="I191" i="4"/>
  <c r="J191" i="4" s="1"/>
  <c r="I42" i="4"/>
  <c r="J42" i="4" s="1"/>
  <c r="I26" i="4"/>
  <c r="J26" i="4" s="1"/>
  <c r="I180" i="4"/>
  <c r="J180" i="4" s="1"/>
  <c r="I190" i="4"/>
  <c r="J190" i="4" s="1"/>
  <c r="I189" i="4"/>
  <c r="J189" i="4" s="1"/>
  <c r="I102" i="4"/>
  <c r="J102" i="4" s="1"/>
  <c r="I20" i="4"/>
  <c r="J20" i="4" s="1"/>
  <c r="I175" i="4"/>
  <c r="J175" i="4" s="1"/>
  <c r="I164" i="4"/>
  <c r="J164" i="4" s="1"/>
  <c r="I96" i="4"/>
  <c r="J96" i="4" s="1"/>
  <c r="I117" i="4"/>
  <c r="J117" i="4" s="1"/>
  <c r="I160" i="4"/>
  <c r="J160" i="4" s="1"/>
  <c r="I64" i="4"/>
  <c r="J64" i="4" s="1"/>
  <c r="I170" i="4"/>
  <c r="J170" i="4" s="1"/>
  <c r="I196" i="4"/>
  <c r="J196" i="4" s="1"/>
  <c r="I176" i="4"/>
  <c r="J176" i="4" s="1"/>
  <c r="I43" i="4"/>
  <c r="J43" i="4" s="1"/>
  <c r="I126" i="4"/>
  <c r="J126" i="4" s="1"/>
  <c r="I142" i="4"/>
  <c r="J142" i="4" s="1"/>
  <c r="I150" i="4"/>
  <c r="J150" i="4" s="1"/>
  <c r="I122" i="4"/>
  <c r="J122" i="4" s="1"/>
  <c r="I143" i="4"/>
  <c r="J143" i="4" s="1"/>
  <c r="I99" i="4"/>
  <c r="J99" i="4" s="1"/>
  <c r="I133" i="4"/>
  <c r="J133" i="4" s="1"/>
  <c r="I65" i="4"/>
  <c r="J65" i="4" s="1"/>
  <c r="I132" i="4"/>
  <c r="J132" i="4" s="1"/>
  <c r="I169" i="4"/>
  <c r="J169" i="4" s="1"/>
  <c r="I80" i="4"/>
  <c r="J80" i="4" s="1"/>
  <c r="I183" i="4"/>
  <c r="J183" i="4" s="1"/>
  <c r="I34" i="4"/>
  <c r="J34" i="4" s="1"/>
  <c r="I138" i="4"/>
  <c r="J138" i="4" s="1"/>
  <c r="I197" i="4"/>
  <c r="J197" i="4" s="1"/>
  <c r="I47" i="4"/>
  <c r="J47" i="4" s="1"/>
  <c r="I198" i="4"/>
  <c r="J198" i="4" s="1"/>
  <c r="I136" i="4"/>
  <c r="J136" i="4" s="1"/>
  <c r="I171" i="4"/>
  <c r="J171" i="4" s="1"/>
  <c r="I156" i="4"/>
  <c r="J156" i="4" s="1"/>
  <c r="I163" i="4"/>
  <c r="J163" i="4" s="1"/>
  <c r="I116" i="4"/>
  <c r="J116" i="4" s="1"/>
  <c r="I199" i="4"/>
  <c r="J199" i="4" s="1"/>
  <c r="I200" i="4"/>
  <c r="J200" i="4" s="1"/>
  <c r="I173" i="4"/>
  <c r="J173" i="4" s="1"/>
  <c r="I182" i="4"/>
  <c r="J182" i="4" s="1"/>
  <c r="I161" i="4"/>
  <c r="J161" i="4" s="1"/>
  <c r="I178" i="4"/>
  <c r="J178" i="4" s="1"/>
  <c r="I181" i="4"/>
  <c r="J181" i="4" s="1"/>
  <c r="I68" i="4"/>
  <c r="J68" i="4" s="1"/>
  <c r="I201" i="4"/>
  <c r="J201" i="4" s="1"/>
  <c r="I151" i="4"/>
  <c r="J151" i="4" s="1"/>
  <c r="I95" i="4"/>
  <c r="J95" i="4" s="1"/>
  <c r="I157" i="4"/>
  <c r="J157" i="4" s="1"/>
  <c r="I86" i="4"/>
  <c r="J86" i="4" s="1"/>
  <c r="H86" i="4"/>
  <c r="F86" i="4"/>
  <c r="E86" i="4"/>
  <c r="H157" i="4"/>
  <c r="F157" i="4"/>
  <c r="E157" i="4"/>
  <c r="H95" i="4"/>
  <c r="F95" i="4"/>
  <c r="E95" i="4"/>
  <c r="H151" i="4"/>
  <c r="F151" i="4"/>
  <c r="E151" i="4"/>
  <c r="H201" i="4"/>
  <c r="F201" i="4"/>
  <c r="E201" i="4"/>
  <c r="H68" i="4"/>
  <c r="F68" i="4"/>
  <c r="E68" i="4"/>
  <c r="H181" i="4"/>
  <c r="F181" i="4"/>
  <c r="E181" i="4"/>
  <c r="H178" i="4"/>
  <c r="F178" i="4"/>
  <c r="E178" i="4"/>
  <c r="H161" i="4"/>
  <c r="F161" i="4"/>
  <c r="E161" i="4"/>
  <c r="H182" i="4"/>
  <c r="F182" i="4"/>
  <c r="E182" i="4"/>
  <c r="H173" i="4"/>
  <c r="F173" i="4"/>
  <c r="E173" i="4"/>
  <c r="H200" i="4"/>
  <c r="F200" i="4"/>
  <c r="E200" i="4"/>
  <c r="H199" i="4"/>
  <c r="F199" i="4"/>
  <c r="E199" i="4"/>
  <c r="H116" i="4"/>
  <c r="F116" i="4"/>
  <c r="E116" i="4"/>
  <c r="H163" i="4"/>
  <c r="F163" i="4"/>
  <c r="E163" i="4"/>
  <c r="H156" i="4"/>
  <c r="F156" i="4"/>
  <c r="E156" i="4"/>
  <c r="H171" i="4"/>
  <c r="F171" i="4"/>
  <c r="E171" i="4"/>
  <c r="H136" i="4"/>
  <c r="F136" i="4"/>
  <c r="E136" i="4"/>
  <c r="H198" i="4"/>
  <c r="F198" i="4"/>
  <c r="E198" i="4"/>
  <c r="H47" i="4"/>
  <c r="F47" i="4"/>
  <c r="E47" i="4"/>
  <c r="H197" i="4"/>
  <c r="F197" i="4"/>
  <c r="E197" i="4"/>
  <c r="H138" i="4"/>
  <c r="F138" i="4"/>
  <c r="E138" i="4"/>
  <c r="H34" i="4"/>
  <c r="F34" i="4"/>
  <c r="E34" i="4"/>
  <c r="H183" i="4"/>
  <c r="F183" i="4"/>
  <c r="E183" i="4"/>
  <c r="H80" i="4"/>
  <c r="F80" i="4"/>
  <c r="E80" i="4"/>
  <c r="H169" i="4"/>
  <c r="F169" i="4"/>
  <c r="E169" i="4"/>
  <c r="H132" i="4"/>
  <c r="F132" i="4"/>
  <c r="E132" i="4"/>
  <c r="H65" i="4"/>
  <c r="F65" i="4"/>
  <c r="E65" i="4"/>
  <c r="H133" i="4"/>
  <c r="F133" i="4"/>
  <c r="E133" i="4"/>
  <c r="H99" i="4"/>
  <c r="F99" i="4"/>
  <c r="E99" i="4"/>
  <c r="H143" i="4"/>
  <c r="F143" i="4"/>
  <c r="E143" i="4"/>
  <c r="H122" i="4"/>
  <c r="F122" i="4"/>
  <c r="E122" i="4"/>
  <c r="H150" i="4"/>
  <c r="F150" i="4"/>
  <c r="E150" i="4"/>
  <c r="H142" i="4"/>
  <c r="F142" i="4"/>
  <c r="E142" i="4"/>
  <c r="H126" i="4"/>
  <c r="F126" i="4"/>
  <c r="E126" i="4"/>
  <c r="H43" i="4"/>
  <c r="F43" i="4"/>
  <c r="E43" i="4"/>
  <c r="H176" i="4"/>
  <c r="F176" i="4"/>
  <c r="E176" i="4"/>
  <c r="H196" i="4"/>
  <c r="F196" i="4"/>
  <c r="E196" i="4"/>
  <c r="H170" i="4"/>
  <c r="F170" i="4"/>
  <c r="E170" i="4"/>
  <c r="H64" i="4"/>
  <c r="F64" i="4"/>
  <c r="E64" i="4"/>
  <c r="H160" i="4"/>
  <c r="F160" i="4"/>
  <c r="E160" i="4"/>
  <c r="H117" i="4"/>
  <c r="F117" i="4"/>
  <c r="E117" i="4"/>
  <c r="H96" i="4"/>
  <c r="F96" i="4"/>
  <c r="E96" i="4"/>
  <c r="H164" i="4"/>
  <c r="F164" i="4"/>
  <c r="E164" i="4"/>
  <c r="H175" i="4"/>
  <c r="F175" i="4"/>
  <c r="E175" i="4"/>
  <c r="H20" i="4"/>
  <c r="F20" i="4"/>
  <c r="E20" i="4"/>
  <c r="H102" i="4"/>
  <c r="F102" i="4"/>
  <c r="E102" i="4"/>
  <c r="H189" i="4"/>
  <c r="F189" i="4"/>
  <c r="E189" i="4"/>
  <c r="H190" i="4"/>
  <c r="F190" i="4"/>
  <c r="E190" i="4"/>
  <c r="H180" i="4"/>
  <c r="F180" i="4"/>
  <c r="E180" i="4"/>
  <c r="H26" i="4"/>
  <c r="F26" i="4"/>
  <c r="E26" i="4"/>
  <c r="H42" i="4"/>
  <c r="F42" i="4"/>
  <c r="E42" i="4"/>
  <c r="H191" i="4"/>
  <c r="F191" i="4"/>
  <c r="E191" i="4"/>
  <c r="H90" i="4"/>
  <c r="F90" i="4"/>
  <c r="E90" i="4"/>
  <c r="H31" i="4"/>
  <c r="F31" i="4"/>
  <c r="E31" i="4"/>
  <c r="H67" i="4"/>
  <c r="F67" i="4"/>
  <c r="E67" i="4"/>
  <c r="H167" i="4"/>
  <c r="F167" i="4"/>
  <c r="E167" i="4"/>
  <c r="H106" i="4"/>
  <c r="F106" i="4"/>
  <c r="E106" i="4"/>
  <c r="H36" i="4"/>
  <c r="F36" i="4"/>
  <c r="E36" i="4"/>
  <c r="H185" i="4"/>
  <c r="F185" i="4"/>
  <c r="E185" i="4"/>
  <c r="H87" i="4"/>
  <c r="F87" i="4"/>
  <c r="E87" i="4"/>
  <c r="H188" i="4"/>
  <c r="F188" i="4"/>
  <c r="E188" i="4"/>
  <c r="H145" i="4"/>
  <c r="F145" i="4"/>
  <c r="E145" i="4"/>
  <c r="H85" i="4"/>
  <c r="F85" i="4"/>
  <c r="E85" i="4"/>
  <c r="H179" i="4"/>
  <c r="F179" i="4"/>
  <c r="E179" i="4"/>
  <c r="H162" i="4"/>
  <c r="F162" i="4"/>
  <c r="E162" i="4"/>
  <c r="H124" i="4"/>
  <c r="F124" i="4"/>
  <c r="E124" i="4"/>
  <c r="H195" i="4"/>
  <c r="F195" i="4"/>
  <c r="E195" i="4"/>
  <c r="H94" i="4"/>
  <c r="F94" i="4"/>
  <c r="E94" i="4"/>
  <c r="H123" i="4"/>
  <c r="F123" i="4"/>
  <c r="E123" i="4"/>
  <c r="H63" i="4"/>
  <c r="F63" i="4"/>
  <c r="E63" i="4"/>
  <c r="H70" i="4"/>
  <c r="F70" i="4"/>
  <c r="E70" i="4"/>
  <c r="H194" i="4"/>
  <c r="F194" i="4"/>
  <c r="E194" i="4"/>
  <c r="H108" i="4"/>
  <c r="F108" i="4"/>
  <c r="E108" i="4"/>
  <c r="H105" i="4"/>
  <c r="F105" i="4"/>
  <c r="E105" i="4"/>
  <c r="H98" i="4"/>
  <c r="F98" i="4"/>
  <c r="E98" i="4"/>
  <c r="H111" i="4"/>
  <c r="F111" i="4"/>
  <c r="E111" i="4"/>
  <c r="H153" i="4"/>
  <c r="F153" i="4"/>
  <c r="E153" i="4"/>
  <c r="H79" i="4"/>
  <c r="F79" i="4"/>
  <c r="E79" i="4"/>
  <c r="H17" i="4"/>
  <c r="F17" i="4"/>
  <c r="E17" i="4"/>
  <c r="H45" i="4"/>
  <c r="F45" i="4"/>
  <c r="E45" i="4"/>
  <c r="H81" i="4"/>
  <c r="F81" i="4"/>
  <c r="E81" i="4"/>
  <c r="H125" i="4"/>
  <c r="F125" i="4"/>
  <c r="E125" i="4"/>
  <c r="H97" i="4"/>
  <c r="F97" i="4"/>
  <c r="E97" i="4"/>
  <c r="H104" i="4"/>
  <c r="F104" i="4"/>
  <c r="E104" i="4"/>
  <c r="H100" i="4"/>
  <c r="F100" i="4"/>
  <c r="E100" i="4"/>
  <c r="H118" i="4"/>
  <c r="F118" i="4"/>
  <c r="E118" i="4"/>
  <c r="H177" i="4"/>
  <c r="F177" i="4"/>
  <c r="E177" i="4"/>
  <c r="H193" i="4"/>
  <c r="F193" i="4"/>
  <c r="E193" i="4"/>
  <c r="H184" i="4"/>
  <c r="F184" i="4"/>
  <c r="E184" i="4"/>
  <c r="H7" i="4"/>
  <c r="F7" i="4"/>
  <c r="E7" i="4"/>
  <c r="H128" i="4"/>
  <c r="F128" i="4"/>
  <c r="E128" i="4"/>
  <c r="H88" i="4"/>
  <c r="F88" i="4"/>
  <c r="E88" i="4"/>
  <c r="H54" i="4"/>
  <c r="F54" i="4"/>
  <c r="E54" i="4"/>
  <c r="H166" i="4"/>
  <c r="F166" i="4"/>
  <c r="E166" i="4"/>
  <c r="H148" i="4"/>
  <c r="F148" i="4"/>
  <c r="E148" i="4"/>
  <c r="H129" i="4"/>
  <c r="F129" i="4"/>
  <c r="E129" i="4"/>
  <c r="H144" i="4"/>
  <c r="F144" i="4"/>
  <c r="E144" i="4"/>
  <c r="H147" i="4"/>
  <c r="F147" i="4"/>
  <c r="E147" i="4"/>
  <c r="H51" i="4"/>
  <c r="F51" i="4"/>
  <c r="E51" i="4"/>
  <c r="H39" i="4"/>
  <c r="F39" i="4"/>
  <c r="E39" i="4"/>
  <c r="H140" i="4"/>
  <c r="F140" i="4"/>
  <c r="E140" i="4"/>
  <c r="H127" i="4"/>
  <c r="F127" i="4"/>
  <c r="E127" i="4"/>
  <c r="H8" i="4"/>
  <c r="F8" i="4"/>
  <c r="E8" i="4"/>
  <c r="H30" i="4"/>
  <c r="F30" i="4"/>
  <c r="E30" i="4"/>
  <c r="H120" i="4"/>
  <c r="F120" i="4"/>
  <c r="E120" i="4"/>
  <c r="H139" i="4"/>
  <c r="F139" i="4"/>
  <c r="E139" i="4"/>
  <c r="H155" i="4"/>
  <c r="F155" i="4"/>
  <c r="E155" i="4"/>
  <c r="H121" i="4"/>
  <c r="F121" i="4"/>
  <c r="E121" i="4"/>
  <c r="H77" i="4"/>
  <c r="F77" i="4"/>
  <c r="E77" i="4"/>
  <c r="H119" i="4"/>
  <c r="F119" i="4"/>
  <c r="E119" i="4"/>
  <c r="H73" i="4"/>
  <c r="F73" i="4"/>
  <c r="E73" i="4"/>
  <c r="H112" i="4"/>
  <c r="F112" i="4"/>
  <c r="E112" i="4"/>
  <c r="H69" i="4"/>
  <c r="F69" i="4"/>
  <c r="E69" i="4"/>
  <c r="H159" i="4"/>
  <c r="F159" i="4"/>
  <c r="E159" i="4"/>
  <c r="H172" i="4"/>
  <c r="F172" i="4"/>
  <c r="E172" i="4"/>
  <c r="H134" i="4"/>
  <c r="F134" i="4"/>
  <c r="E134" i="4"/>
  <c r="H187" i="4"/>
  <c r="F187" i="4"/>
  <c r="E187" i="4"/>
  <c r="H55" i="4"/>
  <c r="F55" i="4"/>
  <c r="E55" i="4"/>
  <c r="H158" i="4"/>
  <c r="F158" i="4"/>
  <c r="E158" i="4"/>
  <c r="H92" i="4"/>
  <c r="F92" i="4"/>
  <c r="E92" i="4"/>
  <c r="H83" i="4"/>
  <c r="F83" i="4"/>
  <c r="E83" i="4"/>
  <c r="H113" i="4"/>
  <c r="F113" i="4"/>
  <c r="E113" i="4"/>
  <c r="H82" i="4"/>
  <c r="F82" i="4"/>
  <c r="E82" i="4"/>
  <c r="H57" i="4"/>
  <c r="F57" i="4"/>
  <c r="E57" i="4"/>
  <c r="H130" i="4"/>
  <c r="F130" i="4"/>
  <c r="E130" i="4"/>
  <c r="H14" i="4"/>
  <c r="F14" i="4"/>
  <c r="E14" i="4"/>
  <c r="H53" i="4"/>
  <c r="F53" i="4"/>
  <c r="E53" i="4"/>
  <c r="H33" i="4"/>
  <c r="F33" i="4"/>
  <c r="E33" i="4"/>
  <c r="H74" i="4"/>
  <c r="F74" i="4"/>
  <c r="E74" i="4"/>
  <c r="H35" i="4"/>
  <c r="F35" i="4"/>
  <c r="E35" i="4"/>
  <c r="H62" i="4"/>
  <c r="F62" i="4"/>
  <c r="E62" i="4"/>
  <c r="H149" i="4"/>
  <c r="F149" i="4"/>
  <c r="E149" i="4"/>
  <c r="H15" i="4"/>
  <c r="F15" i="4"/>
  <c r="E15" i="4"/>
  <c r="H48" i="4"/>
  <c r="F48" i="4"/>
  <c r="E48" i="4"/>
  <c r="H165" i="4"/>
  <c r="F165" i="4"/>
  <c r="E165" i="4"/>
  <c r="H174" i="4"/>
  <c r="F174" i="4"/>
  <c r="E174" i="4"/>
  <c r="H32" i="4"/>
  <c r="F32" i="4"/>
  <c r="E32" i="4"/>
  <c r="H25" i="4"/>
  <c r="F25" i="4"/>
  <c r="E25" i="4"/>
  <c r="H22" i="4"/>
  <c r="F22" i="4"/>
  <c r="E22" i="4"/>
  <c r="H4" i="4"/>
  <c r="F4" i="4"/>
  <c r="E4" i="4"/>
  <c r="H16" i="4"/>
  <c r="F16" i="4"/>
  <c r="E16" i="4"/>
  <c r="H152" i="4"/>
  <c r="F152" i="4"/>
  <c r="E152" i="4"/>
  <c r="H186" i="4"/>
  <c r="F186" i="4"/>
  <c r="E186" i="4"/>
  <c r="H59" i="4"/>
  <c r="F59" i="4"/>
  <c r="E59" i="4"/>
  <c r="H60" i="4"/>
  <c r="F60" i="4"/>
  <c r="E60" i="4"/>
  <c r="H146" i="4"/>
  <c r="F146" i="4"/>
  <c r="E146" i="4"/>
  <c r="H141" i="4"/>
  <c r="F141" i="4"/>
  <c r="E141" i="4"/>
  <c r="H114" i="4"/>
  <c r="F114" i="4"/>
  <c r="E114" i="4"/>
  <c r="H131" i="4"/>
  <c r="F131" i="4"/>
  <c r="E131" i="4"/>
  <c r="H154" i="4"/>
  <c r="F154" i="4"/>
  <c r="E154" i="4"/>
  <c r="H50" i="4"/>
  <c r="F50" i="4"/>
  <c r="E50" i="4"/>
  <c r="H46" i="4"/>
  <c r="F46" i="4"/>
  <c r="E46" i="4"/>
  <c r="H107" i="4"/>
  <c r="F107" i="4"/>
  <c r="E107" i="4"/>
  <c r="H49" i="4"/>
  <c r="F49" i="4"/>
  <c r="E49" i="4"/>
  <c r="H137" i="4"/>
  <c r="F137" i="4"/>
  <c r="E137" i="4"/>
  <c r="H93" i="4"/>
  <c r="F93" i="4"/>
  <c r="E93" i="4"/>
  <c r="H135" i="4"/>
  <c r="F135" i="4"/>
  <c r="E135" i="4"/>
  <c r="H23" i="4"/>
  <c r="F23" i="4"/>
  <c r="E23" i="4"/>
  <c r="H58" i="4"/>
  <c r="F58" i="4"/>
  <c r="E58" i="4"/>
  <c r="H91" i="4"/>
  <c r="F91" i="4"/>
  <c r="E91" i="4"/>
  <c r="H56" i="4"/>
  <c r="F56" i="4"/>
  <c r="E56" i="4"/>
  <c r="H61" i="4"/>
  <c r="F61" i="4"/>
  <c r="E61" i="4"/>
  <c r="H71" i="4"/>
  <c r="F71" i="4"/>
  <c r="E71" i="4"/>
  <c r="H41" i="4"/>
  <c r="F41" i="4"/>
  <c r="E41" i="4"/>
  <c r="H101" i="4"/>
  <c r="F101" i="4"/>
  <c r="E101" i="4"/>
  <c r="H72" i="4"/>
  <c r="F72" i="4"/>
  <c r="E72" i="4"/>
  <c r="H66" i="4"/>
  <c r="F66" i="4"/>
  <c r="E66" i="4"/>
  <c r="H76" i="4"/>
  <c r="F76" i="4"/>
  <c r="E76" i="4"/>
  <c r="H44" i="4"/>
  <c r="F44" i="4"/>
  <c r="E44" i="4"/>
  <c r="H168" i="4"/>
  <c r="F168" i="4"/>
  <c r="E168" i="4"/>
  <c r="H11" i="4"/>
  <c r="F11" i="4"/>
  <c r="E11" i="4"/>
  <c r="H115" i="4"/>
  <c r="F115" i="4"/>
  <c r="E115" i="4"/>
  <c r="H192" i="4"/>
  <c r="F192" i="4"/>
  <c r="E192" i="4"/>
  <c r="H84" i="4"/>
  <c r="F84" i="4"/>
  <c r="E84" i="4"/>
  <c r="H109" i="4"/>
  <c r="F109" i="4"/>
  <c r="E109" i="4"/>
  <c r="H18" i="4"/>
  <c r="F18" i="4"/>
  <c r="E18" i="4"/>
  <c r="H38" i="4"/>
  <c r="F38" i="4"/>
  <c r="E38" i="4"/>
  <c r="H10" i="4"/>
  <c r="F10" i="4"/>
  <c r="E10" i="4"/>
  <c r="H75" i="4"/>
  <c r="F75" i="4"/>
  <c r="E75" i="4"/>
  <c r="H110" i="4"/>
  <c r="F110" i="4"/>
  <c r="E110" i="4"/>
  <c r="H28" i="4"/>
  <c r="F28" i="4"/>
  <c r="E28" i="4"/>
  <c r="H12" i="4"/>
  <c r="F12" i="4"/>
  <c r="E12" i="4"/>
  <c r="H29" i="4"/>
  <c r="F29" i="4"/>
  <c r="E29" i="4"/>
  <c r="H37" i="4"/>
  <c r="F37" i="4"/>
  <c r="E37" i="4"/>
  <c r="H27" i="4"/>
  <c r="F27" i="4"/>
  <c r="E27" i="4"/>
  <c r="H24" i="4"/>
  <c r="F24" i="4"/>
  <c r="E24" i="4"/>
  <c r="H9" i="4"/>
  <c r="F9" i="4"/>
  <c r="E9" i="4"/>
  <c r="H19" i="4"/>
  <c r="F19" i="4"/>
  <c r="E19" i="4"/>
  <c r="H103" i="4"/>
  <c r="F103" i="4"/>
  <c r="E103" i="4"/>
  <c r="H21" i="4"/>
  <c r="F21" i="4"/>
  <c r="E21" i="4"/>
  <c r="H40" i="4"/>
  <c r="F40" i="4"/>
  <c r="E40" i="4"/>
  <c r="H52" i="4"/>
  <c r="F52" i="4"/>
  <c r="E52" i="4"/>
  <c r="H89" i="4"/>
  <c r="F89" i="4"/>
  <c r="E89" i="4"/>
  <c r="H5" i="4"/>
  <c r="F5" i="4"/>
  <c r="E5" i="4"/>
  <c r="H6" i="4"/>
  <c r="F6" i="4"/>
  <c r="E6" i="4"/>
  <c r="H13" i="4"/>
  <c r="F13" i="4"/>
  <c r="E13" i="4"/>
  <c r="H78" i="4"/>
  <c r="F78" i="4"/>
  <c r="E78" i="4"/>
  <c r="H3" i="4"/>
  <c r="F3" i="4"/>
  <c r="E3" i="4"/>
  <c r="H2" i="4"/>
  <c r="F2" i="4"/>
  <c r="E2" i="4"/>
  <c r="E88" i="3"/>
  <c r="F88" i="3"/>
  <c r="H88" i="3"/>
  <c r="K197" i="3"/>
  <c r="K83" i="3"/>
  <c r="K40" i="3"/>
  <c r="K163" i="3"/>
  <c r="K129" i="3"/>
  <c r="K16" i="3"/>
  <c r="K122" i="3"/>
  <c r="K75" i="3"/>
  <c r="K159" i="3"/>
  <c r="K151" i="3"/>
  <c r="K21" i="3"/>
  <c r="K34" i="3"/>
  <c r="K177" i="3"/>
  <c r="K165" i="3"/>
  <c r="K170" i="3"/>
  <c r="K123" i="3"/>
  <c r="K143" i="3"/>
  <c r="K77" i="3"/>
  <c r="K195" i="3"/>
  <c r="K136" i="3"/>
  <c r="K24" i="3"/>
  <c r="K147" i="3"/>
  <c r="K35" i="3"/>
  <c r="K84" i="3"/>
  <c r="K155" i="3"/>
  <c r="K18" i="3"/>
  <c r="K67" i="3"/>
  <c r="K174" i="3"/>
  <c r="K31" i="3"/>
  <c r="K9" i="3"/>
  <c r="K184" i="3"/>
  <c r="K130" i="3"/>
  <c r="K145" i="3"/>
  <c r="K46" i="3"/>
  <c r="K22" i="3"/>
  <c r="K43" i="3"/>
  <c r="K32" i="3"/>
  <c r="K120" i="3"/>
  <c r="K182" i="3"/>
  <c r="K29" i="3"/>
  <c r="K156" i="3"/>
  <c r="K199" i="3"/>
  <c r="K181" i="3"/>
  <c r="K125" i="3"/>
  <c r="K64" i="3"/>
  <c r="K127" i="3"/>
  <c r="K149" i="3"/>
  <c r="K38" i="3"/>
  <c r="K194" i="3"/>
  <c r="K69" i="3"/>
  <c r="K154" i="3"/>
  <c r="K8" i="3"/>
  <c r="K137" i="3"/>
  <c r="K49" i="3"/>
  <c r="K144" i="3"/>
  <c r="K108" i="3"/>
  <c r="K58" i="3"/>
  <c r="K133" i="3"/>
  <c r="K116" i="3"/>
  <c r="K185" i="3"/>
  <c r="K146" i="3"/>
  <c r="K180" i="3"/>
  <c r="K139" i="3"/>
  <c r="K37" i="3"/>
  <c r="K158" i="3"/>
  <c r="K97" i="3"/>
  <c r="K106" i="3"/>
  <c r="K162" i="3"/>
  <c r="K27" i="3"/>
  <c r="K90" i="3"/>
  <c r="K4" i="3"/>
  <c r="K166" i="3"/>
  <c r="K51" i="3"/>
  <c r="K39" i="3"/>
  <c r="K87" i="3"/>
  <c r="K47" i="3"/>
  <c r="K72" i="3"/>
  <c r="K86" i="3"/>
  <c r="K171" i="3"/>
  <c r="K19" i="3"/>
  <c r="K119" i="3"/>
  <c r="K45" i="3"/>
  <c r="K55" i="3"/>
  <c r="K68" i="3"/>
  <c r="K148" i="3"/>
  <c r="K131" i="3"/>
  <c r="K157" i="3"/>
  <c r="K85" i="3"/>
  <c r="K76" i="3"/>
  <c r="K13" i="3"/>
  <c r="K164" i="3"/>
  <c r="K178" i="3"/>
  <c r="K124" i="3"/>
  <c r="K80" i="3"/>
  <c r="K59" i="3"/>
  <c r="K121" i="3"/>
  <c r="K101" i="3"/>
  <c r="K104" i="3"/>
  <c r="K89" i="3"/>
  <c r="K94" i="3"/>
  <c r="K96" i="3"/>
  <c r="K48" i="3"/>
  <c r="K100" i="3"/>
  <c r="K188" i="3"/>
  <c r="K183" i="3"/>
  <c r="K12" i="3"/>
  <c r="K74" i="3"/>
  <c r="K126" i="3"/>
  <c r="K172" i="3"/>
  <c r="K167" i="3"/>
  <c r="K134" i="3"/>
  <c r="K112" i="3"/>
  <c r="K88" i="3"/>
  <c r="K150" i="3"/>
  <c r="K168" i="3"/>
  <c r="K79" i="3"/>
  <c r="K42" i="3"/>
  <c r="K81" i="3"/>
  <c r="K190" i="3"/>
  <c r="K161" i="3"/>
  <c r="K187" i="3"/>
  <c r="K44" i="3"/>
  <c r="K36" i="3"/>
  <c r="K65" i="3"/>
  <c r="K135" i="3"/>
  <c r="K52" i="3"/>
  <c r="K179" i="3"/>
  <c r="K153" i="3"/>
  <c r="K113" i="3"/>
  <c r="K141" i="3"/>
  <c r="K99" i="3"/>
  <c r="K66" i="3"/>
  <c r="K25" i="3"/>
  <c r="K63" i="3"/>
  <c r="K62" i="3"/>
  <c r="K200" i="3"/>
  <c r="K56" i="3"/>
  <c r="K201" i="3"/>
  <c r="K186" i="3"/>
  <c r="K175" i="3"/>
  <c r="K73" i="3"/>
  <c r="K91" i="3"/>
  <c r="K15" i="3"/>
  <c r="K117" i="3"/>
  <c r="K176" i="3"/>
  <c r="K107" i="3"/>
  <c r="K95" i="3"/>
  <c r="K105" i="3"/>
  <c r="K23" i="3"/>
  <c r="K132" i="3"/>
  <c r="K160" i="3"/>
  <c r="K169" i="3"/>
  <c r="K26" i="3"/>
  <c r="K152" i="3"/>
  <c r="K78" i="3"/>
  <c r="K109" i="3"/>
  <c r="K28" i="3"/>
  <c r="K54" i="3"/>
  <c r="K103" i="3"/>
  <c r="K114" i="3"/>
  <c r="K138" i="3"/>
  <c r="K70" i="3"/>
  <c r="K115" i="3"/>
  <c r="K82" i="3"/>
  <c r="K30" i="3"/>
  <c r="K17" i="3"/>
  <c r="K93" i="3"/>
  <c r="K192" i="3"/>
  <c r="K92" i="3"/>
  <c r="K142" i="3"/>
  <c r="K11" i="3"/>
  <c r="K10" i="3"/>
  <c r="K196" i="3"/>
  <c r="K14" i="3"/>
  <c r="K53" i="3"/>
  <c r="K102" i="3"/>
  <c r="K173" i="3"/>
  <c r="K110" i="3"/>
  <c r="K191" i="3"/>
  <c r="K198" i="3"/>
  <c r="K128" i="3"/>
  <c r="K57" i="3"/>
  <c r="K193" i="3"/>
  <c r="K33" i="3"/>
  <c r="K118" i="3"/>
  <c r="K140" i="3"/>
  <c r="K189" i="3"/>
  <c r="K50" i="3"/>
  <c r="K41" i="3"/>
  <c r="K71" i="3"/>
  <c r="K20" i="3"/>
  <c r="K5" i="3"/>
  <c r="H195" i="3"/>
  <c r="F195" i="3"/>
  <c r="E195" i="3"/>
  <c r="H77" i="3"/>
  <c r="F77" i="3"/>
  <c r="E77" i="3"/>
  <c r="H136" i="3"/>
  <c r="F136" i="3"/>
  <c r="E136" i="3"/>
  <c r="H24" i="3"/>
  <c r="F24" i="3"/>
  <c r="E24" i="3"/>
  <c r="H147" i="3"/>
  <c r="F147" i="3"/>
  <c r="E147" i="3"/>
  <c r="H35" i="3"/>
  <c r="F35" i="3"/>
  <c r="E35" i="3"/>
  <c r="H84" i="3"/>
  <c r="F84" i="3"/>
  <c r="E84" i="3"/>
  <c r="H163" i="3"/>
  <c r="F163" i="3"/>
  <c r="E163" i="3"/>
  <c r="H155" i="3"/>
  <c r="F155" i="3"/>
  <c r="E155" i="3"/>
  <c r="H18" i="3"/>
  <c r="F18" i="3"/>
  <c r="E18" i="3"/>
  <c r="H67" i="3"/>
  <c r="F67" i="3"/>
  <c r="E67" i="3"/>
  <c r="H174" i="3"/>
  <c r="F174" i="3"/>
  <c r="E174" i="3"/>
  <c r="H31" i="3"/>
  <c r="F31" i="3"/>
  <c r="E31" i="3"/>
  <c r="H9" i="3"/>
  <c r="F9" i="3"/>
  <c r="E9" i="3"/>
  <c r="H184" i="3"/>
  <c r="F184" i="3"/>
  <c r="E184" i="3"/>
  <c r="H130" i="3"/>
  <c r="F130" i="3"/>
  <c r="E130" i="3"/>
  <c r="H145" i="3"/>
  <c r="F145" i="3"/>
  <c r="E145" i="3"/>
  <c r="H46" i="3"/>
  <c r="F46" i="3"/>
  <c r="E46" i="3"/>
  <c r="H22" i="3"/>
  <c r="F22" i="3"/>
  <c r="E22" i="3"/>
  <c r="H43" i="3"/>
  <c r="F43" i="3"/>
  <c r="E43" i="3"/>
  <c r="H32" i="3"/>
  <c r="F32" i="3"/>
  <c r="E32" i="3"/>
  <c r="H120" i="3"/>
  <c r="F120" i="3"/>
  <c r="E120" i="3"/>
  <c r="H159" i="3"/>
  <c r="F159" i="3"/>
  <c r="E159" i="3"/>
  <c r="H182" i="3"/>
  <c r="F182" i="3"/>
  <c r="E182" i="3"/>
  <c r="H29" i="3"/>
  <c r="F29" i="3"/>
  <c r="E29" i="3"/>
  <c r="H156" i="3"/>
  <c r="F156" i="3"/>
  <c r="E156" i="3"/>
  <c r="H199" i="3"/>
  <c r="F199" i="3"/>
  <c r="E199" i="3"/>
  <c r="H181" i="3"/>
  <c r="F181" i="3"/>
  <c r="E181" i="3"/>
  <c r="H125" i="3"/>
  <c r="F125" i="3"/>
  <c r="E125" i="3"/>
  <c r="H64" i="3"/>
  <c r="F64" i="3"/>
  <c r="E64" i="3"/>
  <c r="H127" i="3"/>
  <c r="F127" i="3"/>
  <c r="E127" i="3"/>
  <c r="H149" i="3"/>
  <c r="F149" i="3"/>
  <c r="E149" i="3"/>
  <c r="H38" i="3"/>
  <c r="F38" i="3"/>
  <c r="E38" i="3"/>
  <c r="H194" i="3"/>
  <c r="F194" i="3"/>
  <c r="E194" i="3"/>
  <c r="H69" i="3"/>
  <c r="F69" i="3"/>
  <c r="E69" i="3"/>
  <c r="H154" i="3"/>
  <c r="F154" i="3"/>
  <c r="E154" i="3"/>
  <c r="H8" i="3"/>
  <c r="F8" i="3"/>
  <c r="E8" i="3"/>
  <c r="H137" i="3"/>
  <c r="F137" i="3"/>
  <c r="E137" i="3"/>
  <c r="H49" i="3"/>
  <c r="F49" i="3"/>
  <c r="E49" i="3"/>
  <c r="H144" i="3"/>
  <c r="F144" i="3"/>
  <c r="E144" i="3"/>
  <c r="H108" i="3"/>
  <c r="F108" i="3"/>
  <c r="E108" i="3"/>
  <c r="H58" i="3"/>
  <c r="F58" i="3"/>
  <c r="E58" i="3"/>
  <c r="H133" i="3"/>
  <c r="F133" i="3"/>
  <c r="E133" i="3"/>
  <c r="H34" i="3"/>
  <c r="F34" i="3"/>
  <c r="E34" i="3"/>
  <c r="H116" i="3"/>
  <c r="F116" i="3"/>
  <c r="E116" i="3"/>
  <c r="H185" i="3"/>
  <c r="F185" i="3"/>
  <c r="E185" i="3"/>
  <c r="H146" i="3"/>
  <c r="F146" i="3"/>
  <c r="E146" i="3"/>
  <c r="H180" i="3"/>
  <c r="F180" i="3"/>
  <c r="E180" i="3"/>
  <c r="H139" i="3"/>
  <c r="F139" i="3"/>
  <c r="E139" i="3"/>
  <c r="H37" i="3"/>
  <c r="F37" i="3"/>
  <c r="E37" i="3"/>
  <c r="H158" i="3"/>
  <c r="F158" i="3"/>
  <c r="E158" i="3"/>
  <c r="H122" i="3"/>
  <c r="F122" i="3"/>
  <c r="E122" i="3"/>
  <c r="H97" i="3"/>
  <c r="F97" i="3"/>
  <c r="E97" i="3"/>
  <c r="H106" i="3"/>
  <c r="F106" i="3"/>
  <c r="E106" i="3"/>
  <c r="H162" i="3"/>
  <c r="F162" i="3"/>
  <c r="E162" i="3"/>
  <c r="H75" i="3"/>
  <c r="F75" i="3"/>
  <c r="E75" i="3"/>
  <c r="H143" i="3"/>
  <c r="F143" i="3"/>
  <c r="E143" i="3"/>
  <c r="H27" i="3"/>
  <c r="F27" i="3"/>
  <c r="E27" i="3"/>
  <c r="H90" i="3"/>
  <c r="F90" i="3"/>
  <c r="E90" i="3"/>
  <c r="H4" i="3"/>
  <c r="F4" i="3"/>
  <c r="E4" i="3"/>
  <c r="H166" i="3"/>
  <c r="F166" i="3"/>
  <c r="E166" i="3"/>
  <c r="H51" i="3"/>
  <c r="F51" i="3"/>
  <c r="E51" i="3"/>
  <c r="H39" i="3"/>
  <c r="F39" i="3"/>
  <c r="E39" i="3"/>
  <c r="H87" i="3"/>
  <c r="F87" i="3"/>
  <c r="E87" i="3"/>
  <c r="H47" i="3"/>
  <c r="F47" i="3"/>
  <c r="E47" i="3"/>
  <c r="H72" i="3"/>
  <c r="F72" i="3"/>
  <c r="E72" i="3"/>
  <c r="H86" i="3"/>
  <c r="F86" i="3"/>
  <c r="E86" i="3"/>
  <c r="H16" i="3"/>
  <c r="F16" i="3"/>
  <c r="E16" i="3"/>
  <c r="H171" i="3"/>
  <c r="F171" i="3"/>
  <c r="E171" i="3"/>
  <c r="H19" i="3"/>
  <c r="F19" i="3"/>
  <c r="E19" i="3"/>
  <c r="H197" i="3"/>
  <c r="F197" i="3"/>
  <c r="E197" i="3"/>
  <c r="H119" i="3"/>
  <c r="F119" i="3"/>
  <c r="E119" i="3"/>
  <c r="H45" i="3"/>
  <c r="F45" i="3"/>
  <c r="E45" i="3"/>
  <c r="H55" i="3"/>
  <c r="F55" i="3"/>
  <c r="E55" i="3"/>
  <c r="H68" i="3"/>
  <c r="F68" i="3"/>
  <c r="E68" i="3"/>
  <c r="H148" i="3"/>
  <c r="F148" i="3"/>
  <c r="E148" i="3"/>
  <c r="H131" i="3"/>
  <c r="F131" i="3"/>
  <c r="E131" i="3"/>
  <c r="H157" i="3"/>
  <c r="F157" i="3"/>
  <c r="E157" i="3"/>
  <c r="H85" i="3"/>
  <c r="F85" i="3"/>
  <c r="E85" i="3"/>
  <c r="H83" i="3"/>
  <c r="F83" i="3"/>
  <c r="E83" i="3"/>
  <c r="H76" i="3"/>
  <c r="F76" i="3"/>
  <c r="E76" i="3"/>
  <c r="H13" i="3"/>
  <c r="F13" i="3"/>
  <c r="E13" i="3"/>
  <c r="H164" i="3"/>
  <c r="F164" i="3"/>
  <c r="E164" i="3"/>
  <c r="H178" i="3"/>
  <c r="F178" i="3"/>
  <c r="E178" i="3"/>
  <c r="H124" i="3"/>
  <c r="F124" i="3"/>
  <c r="E124" i="3"/>
  <c r="H80" i="3"/>
  <c r="F80" i="3"/>
  <c r="E80" i="3"/>
  <c r="H59" i="3"/>
  <c r="F59" i="3"/>
  <c r="E59" i="3"/>
  <c r="H121" i="3"/>
  <c r="F121" i="3"/>
  <c r="E121" i="3"/>
  <c r="H101" i="3"/>
  <c r="F101" i="3"/>
  <c r="E101" i="3"/>
  <c r="H104" i="3"/>
  <c r="F104" i="3"/>
  <c r="E104" i="3"/>
  <c r="H111" i="3"/>
  <c r="F111" i="3"/>
  <c r="E111" i="3"/>
  <c r="H89" i="3"/>
  <c r="F89" i="3"/>
  <c r="E89" i="3"/>
  <c r="H94" i="3"/>
  <c r="F94" i="3"/>
  <c r="E94" i="3"/>
  <c r="H96" i="3"/>
  <c r="F96" i="3"/>
  <c r="E96" i="3"/>
  <c r="H48" i="3"/>
  <c r="F48" i="3"/>
  <c r="E48" i="3"/>
  <c r="H165" i="3"/>
  <c r="F165" i="3"/>
  <c r="E165" i="3"/>
  <c r="H100" i="3"/>
  <c r="F100" i="3"/>
  <c r="E100" i="3"/>
  <c r="H188" i="3"/>
  <c r="F188" i="3"/>
  <c r="E188" i="3"/>
  <c r="H183" i="3"/>
  <c r="F183" i="3"/>
  <c r="E183" i="3"/>
  <c r="H12" i="3"/>
  <c r="F12" i="3"/>
  <c r="E12" i="3"/>
  <c r="H74" i="3"/>
  <c r="F74" i="3"/>
  <c r="E74" i="3"/>
  <c r="H126" i="3"/>
  <c r="F126" i="3"/>
  <c r="E126" i="3"/>
  <c r="H172" i="3"/>
  <c r="F172" i="3"/>
  <c r="E172" i="3"/>
  <c r="H98" i="3"/>
  <c r="F98" i="3"/>
  <c r="E98" i="3"/>
  <c r="H167" i="3"/>
  <c r="F167" i="3"/>
  <c r="E167" i="3"/>
  <c r="H134" i="3"/>
  <c r="F134" i="3"/>
  <c r="E134" i="3"/>
  <c r="H112" i="3"/>
  <c r="F112" i="3"/>
  <c r="E112" i="3"/>
  <c r="H150" i="3"/>
  <c r="F150" i="3"/>
  <c r="E150" i="3"/>
  <c r="H168" i="3"/>
  <c r="F168" i="3"/>
  <c r="E168" i="3"/>
  <c r="H79" i="3"/>
  <c r="F79" i="3"/>
  <c r="E79" i="3"/>
  <c r="H42" i="3"/>
  <c r="F42" i="3"/>
  <c r="E42" i="3"/>
  <c r="H81" i="3"/>
  <c r="F81" i="3"/>
  <c r="E81" i="3"/>
  <c r="H190" i="3"/>
  <c r="F190" i="3"/>
  <c r="E190" i="3"/>
  <c r="H161" i="3"/>
  <c r="F161" i="3"/>
  <c r="E161" i="3"/>
  <c r="H187" i="3"/>
  <c r="F187" i="3"/>
  <c r="E187" i="3"/>
  <c r="H170" i="3"/>
  <c r="F170" i="3"/>
  <c r="E170" i="3"/>
  <c r="H44" i="3"/>
  <c r="F44" i="3"/>
  <c r="E44" i="3"/>
  <c r="H36" i="3"/>
  <c r="F36" i="3"/>
  <c r="E36" i="3"/>
  <c r="H65" i="3"/>
  <c r="F65" i="3"/>
  <c r="E65" i="3"/>
  <c r="H135" i="3"/>
  <c r="F135" i="3"/>
  <c r="E135" i="3"/>
  <c r="H123" i="3"/>
  <c r="F123" i="3"/>
  <c r="E123" i="3"/>
  <c r="H52" i="3"/>
  <c r="F52" i="3"/>
  <c r="E52" i="3"/>
  <c r="H179" i="3"/>
  <c r="F179" i="3"/>
  <c r="E179" i="3"/>
  <c r="H153" i="3"/>
  <c r="F153" i="3"/>
  <c r="E153" i="3"/>
  <c r="H113" i="3"/>
  <c r="F113" i="3"/>
  <c r="E113" i="3"/>
  <c r="H141" i="3"/>
  <c r="F141" i="3"/>
  <c r="E141" i="3"/>
  <c r="H99" i="3"/>
  <c r="F99" i="3"/>
  <c r="E99" i="3"/>
  <c r="H66" i="3"/>
  <c r="F66" i="3"/>
  <c r="E66" i="3"/>
  <c r="H25" i="3"/>
  <c r="F25" i="3"/>
  <c r="E25" i="3"/>
  <c r="H63" i="3"/>
  <c r="F63" i="3"/>
  <c r="I66" i="3" s="1"/>
  <c r="E63" i="3"/>
  <c r="H62" i="3"/>
  <c r="F62" i="3"/>
  <c r="E62" i="3"/>
  <c r="H200" i="3"/>
  <c r="F200" i="3"/>
  <c r="E200" i="3"/>
  <c r="H56" i="3"/>
  <c r="F56" i="3"/>
  <c r="E56" i="3"/>
  <c r="H201" i="3"/>
  <c r="F201" i="3"/>
  <c r="E201" i="3"/>
  <c r="H186" i="3"/>
  <c r="F186" i="3"/>
  <c r="E186" i="3"/>
  <c r="H175" i="3"/>
  <c r="F175" i="3"/>
  <c r="E175" i="3"/>
  <c r="H73" i="3"/>
  <c r="F73" i="3"/>
  <c r="E73" i="3"/>
  <c r="H91" i="3"/>
  <c r="F91" i="3"/>
  <c r="E91" i="3"/>
  <c r="H15" i="3"/>
  <c r="F15" i="3"/>
  <c r="E15" i="3"/>
  <c r="H61" i="3"/>
  <c r="F61" i="3"/>
  <c r="E61" i="3"/>
  <c r="H60" i="3"/>
  <c r="F60" i="3"/>
  <c r="E60" i="3"/>
  <c r="H117" i="3"/>
  <c r="F117" i="3"/>
  <c r="E117" i="3"/>
  <c r="H176" i="3"/>
  <c r="F176" i="3"/>
  <c r="E176" i="3"/>
  <c r="H107" i="3"/>
  <c r="F107" i="3"/>
  <c r="E107" i="3"/>
  <c r="H95" i="3"/>
  <c r="F95" i="3"/>
  <c r="E95" i="3"/>
  <c r="H105" i="3"/>
  <c r="F105" i="3"/>
  <c r="E105" i="3"/>
  <c r="H23" i="3"/>
  <c r="F23" i="3"/>
  <c r="E23" i="3"/>
  <c r="H132" i="3"/>
  <c r="F132" i="3"/>
  <c r="E132" i="3"/>
  <c r="H160" i="3"/>
  <c r="F160" i="3"/>
  <c r="E160" i="3"/>
  <c r="H169" i="3"/>
  <c r="F169" i="3"/>
  <c r="E169" i="3"/>
  <c r="H177" i="3"/>
  <c r="F177" i="3"/>
  <c r="E177" i="3"/>
  <c r="J160" i="3" s="1"/>
  <c r="H26" i="3"/>
  <c r="F26" i="3"/>
  <c r="E26" i="3"/>
  <c r="H152" i="3"/>
  <c r="F152" i="3"/>
  <c r="E152" i="3"/>
  <c r="H78" i="3"/>
  <c r="F78" i="3"/>
  <c r="E78" i="3"/>
  <c r="H109" i="3"/>
  <c r="F109" i="3"/>
  <c r="E109" i="3"/>
  <c r="H28" i="3"/>
  <c r="F28" i="3"/>
  <c r="E28" i="3"/>
  <c r="H54" i="3"/>
  <c r="F54" i="3"/>
  <c r="E54" i="3"/>
  <c r="H103" i="3"/>
  <c r="F103" i="3"/>
  <c r="E103" i="3"/>
  <c r="H114" i="3"/>
  <c r="F114" i="3"/>
  <c r="E114" i="3"/>
  <c r="H138" i="3"/>
  <c r="F138" i="3"/>
  <c r="E138" i="3"/>
  <c r="H129" i="3"/>
  <c r="F129" i="3"/>
  <c r="E129" i="3"/>
  <c r="H70" i="3"/>
  <c r="F70" i="3"/>
  <c r="E70" i="3"/>
  <c r="H115" i="3"/>
  <c r="F115" i="3"/>
  <c r="E115" i="3"/>
  <c r="H82" i="3"/>
  <c r="F82" i="3"/>
  <c r="E82" i="3"/>
  <c r="H30" i="3"/>
  <c r="F30" i="3"/>
  <c r="E30" i="3"/>
  <c r="H17" i="3"/>
  <c r="F17" i="3"/>
  <c r="I82" i="3" s="1"/>
  <c r="E17" i="3"/>
  <c r="H93" i="3"/>
  <c r="F93" i="3"/>
  <c r="E93" i="3"/>
  <c r="H192" i="3"/>
  <c r="F192" i="3"/>
  <c r="E192" i="3"/>
  <c r="H151" i="3"/>
  <c r="F151" i="3"/>
  <c r="E151" i="3"/>
  <c r="H92" i="3"/>
  <c r="F92" i="3"/>
  <c r="E92" i="3"/>
  <c r="H142" i="3"/>
  <c r="F142" i="3"/>
  <c r="E142" i="3"/>
  <c r="H11" i="3"/>
  <c r="F11" i="3"/>
  <c r="E11" i="3"/>
  <c r="H10" i="3"/>
  <c r="F10" i="3"/>
  <c r="E10" i="3"/>
  <c r="H196" i="3"/>
  <c r="F196" i="3"/>
  <c r="E196" i="3"/>
  <c r="H14" i="3"/>
  <c r="F14" i="3"/>
  <c r="E14" i="3"/>
  <c r="H53" i="3"/>
  <c r="F53" i="3"/>
  <c r="E53" i="3"/>
  <c r="H102" i="3"/>
  <c r="F102" i="3"/>
  <c r="E102" i="3"/>
  <c r="H40" i="3"/>
  <c r="F40" i="3"/>
  <c r="I53" i="3" s="1"/>
  <c r="E40" i="3"/>
  <c r="J53" i="3" s="1"/>
  <c r="H173" i="3"/>
  <c r="F173" i="3"/>
  <c r="E173" i="3"/>
  <c r="H21" i="3"/>
  <c r="F21" i="3"/>
  <c r="E21" i="3"/>
  <c r="H110" i="3"/>
  <c r="F110" i="3"/>
  <c r="E110" i="3"/>
  <c r="H191" i="3"/>
  <c r="F191" i="3"/>
  <c r="E191" i="3"/>
  <c r="H198" i="3"/>
  <c r="F198" i="3"/>
  <c r="E198" i="3"/>
  <c r="H128" i="3"/>
  <c r="F128" i="3"/>
  <c r="E128" i="3"/>
  <c r="H57" i="3"/>
  <c r="F57" i="3"/>
  <c r="E57" i="3"/>
  <c r="H193" i="3"/>
  <c r="F193" i="3"/>
  <c r="E193" i="3"/>
  <c r="H33" i="3"/>
  <c r="F33" i="3"/>
  <c r="E33" i="3"/>
  <c r="H118" i="3"/>
  <c r="F118" i="3"/>
  <c r="E118" i="3"/>
  <c r="H140" i="3"/>
  <c r="F140" i="3"/>
  <c r="E140" i="3"/>
  <c r="H189" i="3"/>
  <c r="F189" i="3"/>
  <c r="E189" i="3"/>
  <c r="H50" i="3"/>
  <c r="F50" i="3"/>
  <c r="E50" i="3"/>
  <c r="H41" i="3"/>
  <c r="F41" i="3"/>
  <c r="E41" i="3"/>
  <c r="H71" i="3"/>
  <c r="F71" i="3"/>
  <c r="E71" i="3"/>
  <c r="H7" i="3"/>
  <c r="F7" i="3"/>
  <c r="E7" i="3"/>
  <c r="H6" i="3"/>
  <c r="F6" i="3"/>
  <c r="E6" i="3"/>
  <c r="J71" i="3" s="1"/>
  <c r="H20" i="3"/>
  <c r="F20" i="3"/>
  <c r="E20" i="3"/>
  <c r="H5" i="3"/>
  <c r="F5" i="3"/>
  <c r="E5" i="3"/>
  <c r="H3" i="3"/>
  <c r="F3" i="3"/>
  <c r="I20" i="3" s="1"/>
  <c r="E3" i="3"/>
  <c r="H2" i="3"/>
  <c r="F2" i="3"/>
  <c r="I88" i="3" s="1"/>
  <c r="E2" i="3"/>
  <c r="H6" i="2"/>
  <c r="H10" i="2"/>
  <c r="H8" i="2"/>
  <c r="H4" i="2"/>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3" i="1"/>
  <c r="H4" i="1"/>
  <c r="H5" i="1"/>
  <c r="H6" i="1"/>
  <c r="H2" i="1"/>
  <c r="F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 i="1"/>
  <c r="E3" i="1"/>
  <c r="G3" i="1" s="1"/>
  <c r="E4" i="1"/>
  <c r="E5" i="1"/>
  <c r="E6" i="1"/>
  <c r="E7" i="1"/>
  <c r="G7" i="1" s="1"/>
  <c r="E8" i="1"/>
  <c r="G8" i="1" s="1"/>
  <c r="E9" i="1"/>
  <c r="G9" i="1" s="1"/>
  <c r="E10" i="1"/>
  <c r="G10" i="1" s="1"/>
  <c r="E11" i="1"/>
  <c r="G11" i="1" s="1"/>
  <c r="E12" i="1"/>
  <c r="G12" i="1" s="1"/>
  <c r="E13" i="1"/>
  <c r="E14" i="1"/>
  <c r="G14" i="1" s="1"/>
  <c r="E15" i="1"/>
  <c r="G15" i="1" s="1"/>
  <c r="E16" i="1"/>
  <c r="G16" i="1" s="1"/>
  <c r="E17" i="1"/>
  <c r="G17" i="1" s="1"/>
  <c r="E18" i="1"/>
  <c r="G18" i="1" s="1"/>
  <c r="E19" i="1"/>
  <c r="G19" i="1" s="1"/>
  <c r="E20" i="1"/>
  <c r="G20" i="1" s="1"/>
  <c r="E21" i="1"/>
  <c r="G21" i="1" s="1"/>
  <c r="E22" i="1"/>
  <c r="G22" i="1" s="1"/>
  <c r="E23" i="1"/>
  <c r="G23" i="1" s="1"/>
  <c r="E24" i="1"/>
  <c r="G24" i="1" s="1"/>
  <c r="E25" i="1"/>
  <c r="G25" i="1" s="1"/>
  <c r="E26" i="1"/>
  <c r="G26" i="1" s="1"/>
  <c r="E27" i="1"/>
  <c r="G27" i="1" s="1"/>
  <c r="E28" i="1"/>
  <c r="G28" i="1" s="1"/>
  <c r="E29" i="1"/>
  <c r="G29" i="1" s="1"/>
  <c r="E30" i="1"/>
  <c r="G30" i="1" s="1"/>
  <c r="E31" i="1"/>
  <c r="G31" i="1" s="1"/>
  <c r="E32" i="1"/>
  <c r="G32" i="1" s="1"/>
  <c r="E33" i="1"/>
  <c r="E34" i="1"/>
  <c r="G34" i="1" s="1"/>
  <c r="E35" i="1"/>
  <c r="G35" i="1" s="1"/>
  <c r="E36" i="1"/>
  <c r="E37" i="1"/>
  <c r="G37" i="1" s="1"/>
  <c r="E38" i="1"/>
  <c r="G38" i="1" s="1"/>
  <c r="E39" i="1"/>
  <c r="G39" i="1" s="1"/>
  <c r="E40" i="1"/>
  <c r="G40" i="1" s="1"/>
  <c r="E41" i="1"/>
  <c r="E42" i="1"/>
  <c r="G42" i="1" s="1"/>
  <c r="E43" i="1"/>
  <c r="G43" i="1" s="1"/>
  <c r="E44" i="1"/>
  <c r="E45" i="1"/>
  <c r="G45" i="1" s="1"/>
  <c r="E46" i="1"/>
  <c r="G46" i="1" s="1"/>
  <c r="E47" i="1"/>
  <c r="G47" i="1" s="1"/>
  <c r="E48" i="1"/>
  <c r="G48" i="1" s="1"/>
  <c r="E49" i="1"/>
  <c r="E50" i="1"/>
  <c r="G50" i="1" s="1"/>
  <c r="E51" i="1"/>
  <c r="E52" i="1"/>
  <c r="G52" i="1" s="1"/>
  <c r="E53" i="1"/>
  <c r="G53" i="1" s="1"/>
  <c r="E54" i="1"/>
  <c r="G54" i="1" s="1"/>
  <c r="E55" i="1"/>
  <c r="G55" i="1" s="1"/>
  <c r="E56" i="1"/>
  <c r="G56" i="1" s="1"/>
  <c r="E57" i="1"/>
  <c r="G57" i="1" s="1"/>
  <c r="E58" i="1"/>
  <c r="G58" i="1" s="1"/>
  <c r="E59" i="1"/>
  <c r="G59" i="1" s="1"/>
  <c r="E60" i="1"/>
  <c r="G60" i="1" s="1"/>
  <c r="E61" i="1"/>
  <c r="G61" i="1" s="1"/>
  <c r="E62" i="1"/>
  <c r="G62" i="1" s="1"/>
  <c r="E63" i="1"/>
  <c r="G63" i="1" s="1"/>
  <c r="E64" i="1"/>
  <c r="G64" i="1" s="1"/>
  <c r="E65" i="1"/>
  <c r="G65" i="1" s="1"/>
  <c r="E66" i="1"/>
  <c r="G66" i="1" s="1"/>
  <c r="E67" i="1"/>
  <c r="G67" i="1" s="1"/>
  <c r="E68" i="1"/>
  <c r="E69" i="1"/>
  <c r="G69" i="1" s="1"/>
  <c r="E70" i="1"/>
  <c r="G70" i="1" s="1"/>
  <c r="E71" i="1"/>
  <c r="G71" i="1" s="1"/>
  <c r="E72" i="1"/>
  <c r="G72" i="1" s="1"/>
  <c r="E73" i="1"/>
  <c r="E74" i="1"/>
  <c r="G74" i="1" s="1"/>
  <c r="E75" i="1"/>
  <c r="G75" i="1" s="1"/>
  <c r="E76" i="1"/>
  <c r="G76" i="1" s="1"/>
  <c r="E77" i="1"/>
  <c r="E78" i="1"/>
  <c r="G78" i="1" s="1"/>
  <c r="E79" i="1"/>
  <c r="G79" i="1" s="1"/>
  <c r="E80" i="1"/>
  <c r="G80" i="1" s="1"/>
  <c r="E81" i="1"/>
  <c r="E82" i="1"/>
  <c r="G82" i="1" s="1"/>
  <c r="E83" i="1"/>
  <c r="G83" i="1" s="1"/>
  <c r="E84" i="1"/>
  <c r="G84" i="1" s="1"/>
  <c r="E85" i="1"/>
  <c r="G85" i="1" s="1"/>
  <c r="E86" i="1"/>
  <c r="E87" i="1"/>
  <c r="G87" i="1" s="1"/>
  <c r="E88" i="1"/>
  <c r="G88" i="1" s="1"/>
  <c r="E89" i="1"/>
  <c r="G89" i="1" s="1"/>
  <c r="E90" i="1"/>
  <c r="G90" i="1" s="1"/>
  <c r="E91" i="1"/>
  <c r="G91" i="1" s="1"/>
  <c r="E92" i="1"/>
  <c r="G92" i="1" s="1"/>
  <c r="E93" i="1"/>
  <c r="G93" i="1" s="1"/>
  <c r="E94" i="1"/>
  <c r="E95" i="1"/>
  <c r="G95" i="1" s="1"/>
  <c r="E96" i="1"/>
  <c r="G96" i="1" s="1"/>
  <c r="E97" i="1"/>
  <c r="G97" i="1" s="1"/>
  <c r="E98" i="1"/>
  <c r="G98" i="1" s="1"/>
  <c r="E99" i="1"/>
  <c r="G99" i="1" s="1"/>
  <c r="E100" i="1"/>
  <c r="G100" i="1" s="1"/>
  <c r="E101" i="1"/>
  <c r="G101" i="1" s="1"/>
  <c r="E102" i="1"/>
  <c r="G102" i="1" s="1"/>
  <c r="E103" i="1"/>
  <c r="G103" i="1" s="1"/>
  <c r="E104" i="1"/>
  <c r="G104" i="1" s="1"/>
  <c r="E105" i="1"/>
  <c r="G105" i="1" s="1"/>
  <c r="E106" i="1"/>
  <c r="G106" i="1" s="1"/>
  <c r="E107" i="1"/>
  <c r="G107" i="1" s="1"/>
  <c r="E108" i="1"/>
  <c r="G108" i="1" s="1"/>
  <c r="E109" i="1"/>
  <c r="G109" i="1" s="1"/>
  <c r="E110" i="1"/>
  <c r="G110" i="1" s="1"/>
  <c r="E111" i="1"/>
  <c r="G111" i="1" s="1"/>
  <c r="E112" i="1"/>
  <c r="G112" i="1" s="1"/>
  <c r="E113" i="1"/>
  <c r="G113" i="1" s="1"/>
  <c r="E114" i="1"/>
  <c r="G114" i="1" s="1"/>
  <c r="E115" i="1"/>
  <c r="G115" i="1" s="1"/>
  <c r="E116" i="1"/>
  <c r="E117" i="1"/>
  <c r="G117" i="1" s="1"/>
  <c r="E118" i="1"/>
  <c r="E119" i="1"/>
  <c r="G119" i="1" s="1"/>
  <c r="E120" i="1"/>
  <c r="G120" i="1" s="1"/>
  <c r="E121" i="1"/>
  <c r="G121" i="1" s="1"/>
  <c r="E122" i="1"/>
  <c r="G122" i="1" s="1"/>
  <c r="E123" i="1"/>
  <c r="G123" i="1" s="1"/>
  <c r="E124" i="1"/>
  <c r="G124" i="1" s="1"/>
  <c r="E125" i="1"/>
  <c r="E126" i="1"/>
  <c r="G126" i="1" s="1"/>
  <c r="E127" i="1"/>
  <c r="G127" i="1" s="1"/>
  <c r="E128" i="1"/>
  <c r="G128" i="1" s="1"/>
  <c r="E129" i="1"/>
  <c r="G129" i="1" s="1"/>
  <c r="E130" i="1"/>
  <c r="G130" i="1" s="1"/>
  <c r="E131" i="1"/>
  <c r="G131" i="1" s="1"/>
  <c r="E132" i="1"/>
  <c r="G132" i="1" s="1"/>
  <c r="E133" i="1"/>
  <c r="G133" i="1" s="1"/>
  <c r="E134" i="1"/>
  <c r="E135" i="1"/>
  <c r="G135" i="1" s="1"/>
  <c r="E136" i="1"/>
  <c r="G136" i="1" s="1"/>
  <c r="E137" i="1"/>
  <c r="G137" i="1" s="1"/>
  <c r="E138" i="1"/>
  <c r="G138" i="1" s="1"/>
  <c r="E139" i="1"/>
  <c r="G139" i="1" s="1"/>
  <c r="E140" i="1"/>
  <c r="E141" i="1"/>
  <c r="G141" i="1" s="1"/>
  <c r="E142" i="1"/>
  <c r="G142" i="1" s="1"/>
  <c r="E143" i="1"/>
  <c r="G143" i="1" s="1"/>
  <c r="E144" i="1"/>
  <c r="E145" i="1"/>
  <c r="G145" i="1" s="1"/>
  <c r="E146" i="1"/>
  <c r="G146" i="1" s="1"/>
  <c r="E147" i="1"/>
  <c r="G147" i="1" s="1"/>
  <c r="E148" i="1"/>
  <c r="G148" i="1" s="1"/>
  <c r="E149" i="1"/>
  <c r="G149" i="1" s="1"/>
  <c r="E150" i="1"/>
  <c r="G150" i="1" s="1"/>
  <c r="E151" i="1"/>
  <c r="G151" i="1" s="1"/>
  <c r="E152" i="1"/>
  <c r="G152" i="1" s="1"/>
  <c r="E153" i="1"/>
  <c r="G153" i="1" s="1"/>
  <c r="E154" i="1"/>
  <c r="G154" i="1" s="1"/>
  <c r="E155" i="1"/>
  <c r="G155" i="1" s="1"/>
  <c r="E156" i="1"/>
  <c r="G156" i="1" s="1"/>
  <c r="E157" i="1"/>
  <c r="G157" i="1" s="1"/>
  <c r="E158" i="1"/>
  <c r="G158" i="1" s="1"/>
  <c r="E159" i="1"/>
  <c r="G159" i="1" s="1"/>
  <c r="E160" i="1"/>
  <c r="G160" i="1" s="1"/>
  <c r="E161" i="1"/>
  <c r="G161" i="1" s="1"/>
  <c r="E162" i="1"/>
  <c r="G162" i="1" s="1"/>
  <c r="E163" i="1"/>
  <c r="G163" i="1" s="1"/>
  <c r="E164" i="1"/>
  <c r="E165" i="1"/>
  <c r="G165" i="1" s="1"/>
  <c r="E166" i="1"/>
  <c r="E167" i="1"/>
  <c r="G167" i="1" s="1"/>
  <c r="E168" i="1"/>
  <c r="G168" i="1" s="1"/>
  <c r="E169" i="1"/>
  <c r="G169" i="1" s="1"/>
  <c r="E170" i="1"/>
  <c r="G170" i="1" s="1"/>
  <c r="E171" i="1"/>
  <c r="G171" i="1" s="1"/>
  <c r="E172" i="1"/>
  <c r="G172" i="1" s="1"/>
  <c r="E173" i="1"/>
  <c r="G173" i="1" s="1"/>
  <c r="E174" i="1"/>
  <c r="G174" i="1" s="1"/>
  <c r="E175" i="1"/>
  <c r="G175" i="1" s="1"/>
  <c r="E176" i="1"/>
  <c r="G176" i="1" s="1"/>
  <c r="E177" i="1"/>
  <c r="G177" i="1" s="1"/>
  <c r="E178" i="1"/>
  <c r="G178" i="1" s="1"/>
  <c r="E179" i="1"/>
  <c r="G179" i="1" s="1"/>
  <c r="E180" i="1"/>
  <c r="G180" i="1" s="1"/>
  <c r="E181" i="1"/>
  <c r="G181" i="1" s="1"/>
  <c r="E182" i="1"/>
  <c r="E183" i="1"/>
  <c r="G183" i="1" s="1"/>
  <c r="E184" i="1"/>
  <c r="E185" i="1"/>
  <c r="E186" i="1"/>
  <c r="G186" i="1" s="1"/>
  <c r="E187" i="1"/>
  <c r="G187" i="1" s="1"/>
  <c r="E188" i="1"/>
  <c r="G188" i="1" s="1"/>
  <c r="E189" i="1"/>
  <c r="E190" i="1"/>
  <c r="E191" i="1"/>
  <c r="G191" i="1" s="1"/>
  <c r="E192" i="1"/>
  <c r="G192" i="1" s="1"/>
  <c r="E193" i="1"/>
  <c r="G193" i="1" s="1"/>
  <c r="E194" i="1"/>
  <c r="G194" i="1" s="1"/>
  <c r="E195" i="1"/>
  <c r="G195" i="1" s="1"/>
  <c r="E196" i="1"/>
  <c r="G196" i="1" s="1"/>
  <c r="E197" i="1"/>
  <c r="G197" i="1" s="1"/>
  <c r="E198" i="1"/>
  <c r="G198" i="1" s="1"/>
  <c r="E199" i="1"/>
  <c r="G199" i="1" s="1"/>
  <c r="E200" i="1"/>
  <c r="G200" i="1" s="1"/>
  <c r="E201" i="1"/>
  <c r="G201" i="1" s="1"/>
  <c r="E2" i="1"/>
  <c r="G2" i="1" s="1"/>
  <c r="H12" i="2"/>
  <c r="G125" i="1" l="1"/>
  <c r="G116" i="1"/>
  <c r="G41" i="1"/>
  <c r="G13" i="1"/>
  <c r="G5" i="1"/>
  <c r="I129" i="3"/>
  <c r="G36" i="1"/>
  <c r="G33" i="1"/>
  <c r="G49" i="1"/>
  <c r="G184" i="1"/>
  <c r="G164" i="1"/>
  <c r="G185" i="1"/>
  <c r="G4" i="1"/>
  <c r="G44" i="1"/>
  <c r="G81" i="1"/>
  <c r="G144" i="1"/>
  <c r="G140" i="1"/>
  <c r="G189" i="1"/>
  <c r="G166" i="1"/>
  <c r="G2" i="4"/>
  <c r="G6" i="4"/>
  <c r="G40" i="4"/>
  <c r="G9" i="4"/>
  <c r="G29" i="4"/>
  <c r="G75" i="4"/>
  <c r="G109" i="4"/>
  <c r="G11" i="4"/>
  <c r="G66" i="4"/>
  <c r="G71" i="4"/>
  <c r="G58" i="4"/>
  <c r="G137" i="4"/>
  <c r="G50" i="4"/>
  <c r="G141" i="4"/>
  <c r="G186" i="4"/>
  <c r="G78" i="4"/>
  <c r="G89" i="4"/>
  <c r="G103" i="4"/>
  <c r="G27" i="4"/>
  <c r="G28" i="4"/>
  <c r="G38" i="4"/>
  <c r="G192" i="4"/>
  <c r="G44" i="4"/>
  <c r="G101" i="4"/>
  <c r="G56" i="4"/>
  <c r="G135" i="4"/>
  <c r="G107" i="4"/>
  <c r="G131" i="4"/>
  <c r="G16" i="4"/>
  <c r="G32" i="4"/>
  <c r="G187" i="4"/>
  <c r="G69" i="4"/>
  <c r="G77" i="4"/>
  <c r="G120" i="4"/>
  <c r="G140" i="4"/>
  <c r="G144" i="4"/>
  <c r="G54" i="4"/>
  <c r="G184" i="4"/>
  <c r="G100" i="4"/>
  <c r="G81" i="4"/>
  <c r="G153" i="4"/>
  <c r="G108" i="4"/>
  <c r="G123" i="4"/>
  <c r="G162" i="4"/>
  <c r="G188" i="4"/>
  <c r="G106" i="4"/>
  <c r="G22" i="4"/>
  <c r="G165" i="4"/>
  <c r="G62" i="4"/>
  <c r="G53" i="4"/>
  <c r="G82" i="4"/>
  <c r="G158" i="4"/>
  <c r="G172" i="4"/>
  <c r="G90" i="4"/>
  <c r="G180" i="4"/>
  <c r="G20" i="4"/>
  <c r="G117" i="4"/>
  <c r="G196" i="4"/>
  <c r="G142" i="4"/>
  <c r="G73" i="4"/>
  <c r="G155" i="4"/>
  <c r="G8" i="4"/>
  <c r="G51" i="4"/>
  <c r="G148" i="4"/>
  <c r="G128" i="4"/>
  <c r="G177" i="4"/>
  <c r="G97" i="4"/>
  <c r="G17" i="4"/>
  <c r="G98" i="4"/>
  <c r="G70" i="4"/>
  <c r="G195" i="4"/>
  <c r="G85" i="4"/>
  <c r="G185" i="4"/>
  <c r="G67" i="4"/>
  <c r="G42" i="4"/>
  <c r="G189" i="4"/>
  <c r="G99" i="4"/>
  <c r="G169" i="4"/>
  <c r="G138" i="4"/>
  <c r="G136" i="4"/>
  <c r="G116" i="4"/>
  <c r="G182" i="4"/>
  <c r="G68" i="4"/>
  <c r="G157" i="4"/>
  <c r="G164" i="4"/>
  <c r="G64" i="4"/>
  <c r="G43" i="4"/>
  <c r="G122" i="4"/>
  <c r="G65" i="4"/>
  <c r="G183" i="4"/>
  <c r="G47" i="4"/>
  <c r="G201" i="4"/>
  <c r="G86" i="4"/>
  <c r="G156" i="4"/>
  <c r="G200" i="4"/>
  <c r="G178" i="4"/>
  <c r="G151" i="4"/>
  <c r="G13" i="4"/>
  <c r="G52" i="4"/>
  <c r="G19" i="4"/>
  <c r="G37" i="4"/>
  <c r="G110" i="4"/>
  <c r="G18" i="4"/>
  <c r="G115" i="4"/>
  <c r="G76" i="4"/>
  <c r="G41" i="4"/>
  <c r="G91" i="4"/>
  <c r="G93" i="4"/>
  <c r="G46" i="4"/>
  <c r="G114" i="4"/>
  <c r="G59" i="4"/>
  <c r="G4" i="4"/>
  <c r="G174" i="4"/>
  <c r="G149" i="4"/>
  <c r="G33" i="4"/>
  <c r="G57" i="4"/>
  <c r="G92" i="4"/>
  <c r="G134" i="4"/>
  <c r="G112" i="4"/>
  <c r="G121" i="4"/>
  <c r="G30" i="4"/>
  <c r="G39" i="4"/>
  <c r="G129" i="4"/>
  <c r="G88" i="4"/>
  <c r="G193" i="4"/>
  <c r="G176" i="4"/>
  <c r="G150" i="4"/>
  <c r="G133" i="4"/>
  <c r="G80" i="4"/>
  <c r="G197" i="4"/>
  <c r="G171" i="4"/>
  <c r="G199" i="4"/>
  <c r="G161" i="4"/>
  <c r="G3" i="4"/>
  <c r="G5" i="4"/>
  <c r="G21" i="4"/>
  <c r="G24" i="4"/>
  <c r="G12" i="4"/>
  <c r="G10" i="4"/>
  <c r="G84" i="4"/>
  <c r="G168" i="4"/>
  <c r="G72" i="4"/>
  <c r="G61" i="4"/>
  <c r="G55" i="4"/>
  <c r="G159" i="4"/>
  <c r="G119" i="4"/>
  <c r="G139" i="4"/>
  <c r="G127" i="4"/>
  <c r="G147" i="4"/>
  <c r="G166" i="4"/>
  <c r="G7" i="4"/>
  <c r="G118" i="4"/>
  <c r="G170" i="4"/>
  <c r="G126" i="4"/>
  <c r="G143" i="4"/>
  <c r="G132" i="4"/>
  <c r="G34" i="4"/>
  <c r="G198" i="4"/>
  <c r="G163" i="4"/>
  <c r="G173" i="4"/>
  <c r="G181" i="4"/>
  <c r="G95" i="4"/>
  <c r="G60" i="4"/>
  <c r="G15" i="4"/>
  <c r="G74" i="4"/>
  <c r="G130" i="4"/>
  <c r="G83" i="4"/>
  <c r="I138" i="3"/>
  <c r="G23" i="4"/>
  <c r="G49" i="4"/>
  <c r="G154" i="4"/>
  <c r="G146" i="4"/>
  <c r="G152" i="4"/>
  <c r="G25" i="4"/>
  <c r="G48" i="4"/>
  <c r="G35" i="4"/>
  <c r="G14" i="4"/>
  <c r="G113" i="4"/>
  <c r="G104" i="4"/>
  <c r="G45" i="4"/>
  <c r="G111" i="4"/>
  <c r="G194" i="4"/>
  <c r="G94" i="4"/>
  <c r="G179" i="4"/>
  <c r="G87" i="4"/>
  <c r="G167" i="4"/>
  <c r="G191" i="4"/>
  <c r="G190" i="4"/>
  <c r="G175" i="4"/>
  <c r="G160" i="4"/>
  <c r="G125" i="4"/>
  <c r="G79" i="4"/>
  <c r="G105" i="4"/>
  <c r="G63" i="4"/>
  <c r="G124" i="4"/>
  <c r="G145" i="4"/>
  <c r="G36" i="4"/>
  <c r="G31" i="4"/>
  <c r="G26" i="4"/>
  <c r="G102" i="4"/>
  <c r="G96" i="4"/>
  <c r="J102" i="3"/>
  <c r="I151" i="3"/>
  <c r="J192" i="3"/>
  <c r="G88" i="3"/>
  <c r="G182" i="1"/>
  <c r="J193" i="3"/>
  <c r="J191" i="3"/>
  <c r="I110" i="3"/>
  <c r="J169" i="3"/>
  <c r="J50" i="3"/>
  <c r="I191" i="3"/>
  <c r="I57" i="3"/>
  <c r="J41" i="3"/>
  <c r="I50" i="3"/>
  <c r="I93" i="3"/>
  <c r="I114" i="3"/>
  <c r="J132" i="3"/>
  <c r="J95" i="3"/>
  <c r="I175" i="3"/>
  <c r="I200" i="3"/>
  <c r="I153" i="3"/>
  <c r="I177" i="3"/>
  <c r="J200" i="3"/>
  <c r="J5" i="3"/>
  <c r="I41" i="3"/>
  <c r="I21" i="3"/>
  <c r="J73" i="3"/>
  <c r="J78" i="3"/>
  <c r="I62" i="3"/>
  <c r="J88" i="3"/>
  <c r="J140" i="3"/>
  <c r="I192" i="3"/>
  <c r="I132" i="3"/>
  <c r="I170" i="3"/>
  <c r="I118" i="3"/>
  <c r="I11" i="3"/>
  <c r="J152" i="3"/>
  <c r="J44" i="3"/>
  <c r="I5" i="3"/>
  <c r="J40" i="3"/>
  <c r="J92" i="3"/>
  <c r="J103" i="3"/>
  <c r="I152" i="3"/>
  <c r="I73" i="3"/>
  <c r="J188" i="3"/>
  <c r="J104" i="3"/>
  <c r="J13" i="3"/>
  <c r="J33" i="3"/>
  <c r="I193" i="3"/>
  <c r="I78" i="3"/>
  <c r="I188" i="3"/>
  <c r="I13" i="3"/>
  <c r="J39" i="3"/>
  <c r="J57" i="3"/>
  <c r="I128" i="3"/>
  <c r="J110" i="3"/>
  <c r="J10" i="3"/>
  <c r="J151" i="3"/>
  <c r="J129" i="3"/>
  <c r="J54" i="3"/>
  <c r="J25" i="3"/>
  <c r="I44" i="3"/>
  <c r="I40" i="3"/>
  <c r="I71" i="3"/>
  <c r="J189" i="3"/>
  <c r="I140" i="3"/>
  <c r="I28" i="3"/>
  <c r="J56" i="3"/>
  <c r="I150" i="3"/>
  <c r="I94" i="3"/>
  <c r="J72" i="3"/>
  <c r="J137" i="3"/>
  <c r="I147" i="3"/>
  <c r="I113" i="3"/>
  <c r="J52" i="3"/>
  <c r="I137" i="3"/>
  <c r="I156" i="3"/>
  <c r="J113" i="3"/>
  <c r="J168" i="3"/>
  <c r="J126" i="3"/>
  <c r="J80" i="3"/>
  <c r="J55" i="3"/>
  <c r="I116" i="3"/>
  <c r="J58" i="3"/>
  <c r="I108" i="3"/>
  <c r="J194" i="3"/>
  <c r="J156" i="3"/>
  <c r="I29" i="3"/>
  <c r="J117" i="3"/>
  <c r="J63" i="3"/>
  <c r="J79" i="3"/>
  <c r="I168" i="3"/>
  <c r="J59" i="3"/>
  <c r="I80" i="3"/>
  <c r="I19" i="3"/>
  <c r="I189" i="3"/>
  <c r="J14" i="3"/>
  <c r="I117" i="3"/>
  <c r="I63" i="3"/>
  <c r="I52" i="3"/>
  <c r="J187" i="3"/>
  <c r="I59" i="3"/>
  <c r="J87" i="3"/>
  <c r="J130" i="3"/>
  <c r="I198" i="3"/>
  <c r="J138" i="3"/>
  <c r="I15" i="3"/>
  <c r="I99" i="3"/>
  <c r="I65" i="3"/>
  <c r="I187" i="3"/>
  <c r="J94" i="3"/>
  <c r="J116" i="3"/>
  <c r="J29" i="3"/>
  <c r="I130" i="3"/>
  <c r="I169" i="3"/>
  <c r="I54" i="3"/>
  <c r="J91" i="3"/>
  <c r="J201" i="3"/>
  <c r="I56" i="3"/>
  <c r="I25" i="3"/>
  <c r="J112" i="3"/>
  <c r="I134" i="3"/>
  <c r="J172" i="3"/>
  <c r="I126" i="3"/>
  <c r="J183" i="3"/>
  <c r="I96" i="3"/>
  <c r="I55" i="3"/>
  <c r="I106" i="3"/>
  <c r="I194" i="3"/>
  <c r="J67" i="3"/>
  <c r="I18" i="3"/>
  <c r="J175" i="3"/>
  <c r="I178" i="3"/>
  <c r="J19" i="3"/>
  <c r="J196" i="3"/>
  <c r="I160" i="3"/>
  <c r="I95" i="3"/>
  <c r="I104" i="3"/>
  <c r="I58" i="3"/>
  <c r="J159" i="3"/>
  <c r="J198" i="3"/>
  <c r="J142" i="3"/>
  <c r="I92" i="3"/>
  <c r="J93" i="3"/>
  <c r="I17" i="3"/>
  <c r="I70" i="3"/>
  <c r="J114" i="3"/>
  <c r="J109" i="3"/>
  <c r="J23" i="3"/>
  <c r="I105" i="3"/>
  <c r="J15" i="3"/>
  <c r="J62" i="3"/>
  <c r="J99" i="3"/>
  <c r="J65" i="3"/>
  <c r="I161" i="3"/>
  <c r="I79" i="3"/>
  <c r="J121" i="3"/>
  <c r="I159" i="3"/>
  <c r="I102" i="3"/>
  <c r="J17" i="3"/>
  <c r="J70" i="3"/>
  <c r="J105" i="3"/>
  <c r="J161" i="3"/>
  <c r="J20" i="3"/>
  <c r="J118" i="3"/>
  <c r="I33" i="3"/>
  <c r="J128" i="3"/>
  <c r="J11" i="3"/>
  <c r="I142" i="3"/>
  <c r="I109" i="3"/>
  <c r="I23" i="3"/>
  <c r="J66" i="3"/>
  <c r="J170" i="3"/>
  <c r="J150" i="3"/>
  <c r="I121" i="3"/>
  <c r="J30" i="3"/>
  <c r="I26" i="3"/>
  <c r="I107" i="3"/>
  <c r="J123" i="3"/>
  <c r="I135" i="3"/>
  <c r="J190" i="3"/>
  <c r="I81" i="3"/>
  <c r="J134" i="3"/>
  <c r="I167" i="3"/>
  <c r="I74" i="3"/>
  <c r="I100" i="3"/>
  <c r="J96" i="3"/>
  <c r="I101" i="3"/>
  <c r="I124" i="3"/>
  <c r="I76" i="3"/>
  <c r="J157" i="3"/>
  <c r="I131" i="3"/>
  <c r="I45" i="3"/>
  <c r="I171" i="3"/>
  <c r="I47" i="3"/>
  <c r="J51" i="3"/>
  <c r="I166" i="3"/>
  <c r="J27" i="3"/>
  <c r="I143" i="3"/>
  <c r="J106" i="3"/>
  <c r="I97" i="3"/>
  <c r="J37" i="3"/>
  <c r="I139" i="3"/>
  <c r="J185" i="3"/>
  <c r="I8" i="3"/>
  <c r="I38" i="3"/>
  <c r="J64" i="3"/>
  <c r="I125" i="3"/>
  <c r="J120" i="3"/>
  <c r="I32" i="3"/>
  <c r="J46" i="3"/>
  <c r="I145" i="3"/>
  <c r="J9" i="3"/>
  <c r="I31" i="3"/>
  <c r="J18" i="3"/>
  <c r="I155" i="3"/>
  <c r="J35" i="3"/>
  <c r="J77" i="3"/>
  <c r="I195" i="3"/>
  <c r="I10" i="3"/>
  <c r="I30" i="3"/>
  <c r="J141" i="3"/>
  <c r="I123" i="3"/>
  <c r="J36" i="3"/>
  <c r="I190" i="3"/>
  <c r="J48" i="3"/>
  <c r="J164" i="3"/>
  <c r="J85" i="3"/>
  <c r="I157" i="3"/>
  <c r="J68" i="3"/>
  <c r="J197" i="3"/>
  <c r="J86" i="3"/>
  <c r="I72" i="3"/>
  <c r="I51" i="3"/>
  <c r="J90" i="3"/>
  <c r="I27" i="3"/>
  <c r="J162" i="3"/>
  <c r="J158" i="3"/>
  <c r="I37" i="3"/>
  <c r="J146" i="3"/>
  <c r="I185" i="3"/>
  <c r="J133" i="3"/>
  <c r="J49" i="3"/>
  <c r="J69" i="3"/>
  <c r="J127" i="3"/>
  <c r="I64" i="3"/>
  <c r="J199" i="3"/>
  <c r="I120" i="3"/>
  <c r="J22" i="3"/>
  <c r="I46" i="3"/>
  <c r="J184" i="3"/>
  <c r="I9" i="3"/>
  <c r="J84" i="3"/>
  <c r="I35" i="3"/>
  <c r="J136" i="3"/>
  <c r="I77" i="3"/>
  <c r="J173" i="3"/>
  <c r="I196" i="3"/>
  <c r="J115" i="3"/>
  <c r="I103" i="3"/>
  <c r="J177" i="3"/>
  <c r="J176" i="3"/>
  <c r="I91" i="3"/>
  <c r="J186" i="3"/>
  <c r="I201" i="3"/>
  <c r="I141" i="3"/>
  <c r="J179" i="3"/>
  <c r="I36" i="3"/>
  <c r="J42" i="3"/>
  <c r="I112" i="3"/>
  <c r="I172" i="3"/>
  <c r="J12" i="3"/>
  <c r="I183" i="3"/>
  <c r="J165" i="3"/>
  <c r="I48" i="3"/>
  <c r="J89" i="3"/>
  <c r="J178" i="3"/>
  <c r="I164" i="3"/>
  <c r="J83" i="3"/>
  <c r="I85" i="3"/>
  <c r="J148" i="3"/>
  <c r="I68" i="3"/>
  <c r="J119" i="3"/>
  <c r="I197" i="3"/>
  <c r="J16" i="3"/>
  <c r="I86" i="3"/>
  <c r="I39" i="3"/>
  <c r="J4" i="3"/>
  <c r="I90" i="3"/>
  <c r="J75" i="3"/>
  <c r="I162" i="3"/>
  <c r="J122" i="3"/>
  <c r="I158" i="3"/>
  <c r="J180" i="3"/>
  <c r="I146" i="3"/>
  <c r="J34" i="3"/>
  <c r="I133" i="3"/>
  <c r="J144" i="3"/>
  <c r="I49" i="3"/>
  <c r="J154" i="3"/>
  <c r="I69" i="3"/>
  <c r="J149" i="3"/>
  <c r="I127" i="3"/>
  <c r="J181" i="3"/>
  <c r="I199" i="3"/>
  <c r="J182" i="3"/>
  <c r="J43" i="3"/>
  <c r="I22" i="3"/>
  <c r="I184" i="3"/>
  <c r="J174" i="3"/>
  <c r="I67" i="3"/>
  <c r="J163" i="3"/>
  <c r="I84" i="3"/>
  <c r="J24" i="3"/>
  <c r="I136" i="3"/>
  <c r="J21" i="3"/>
  <c r="I173" i="3"/>
  <c r="I14" i="3"/>
  <c r="J82" i="3"/>
  <c r="I115" i="3"/>
  <c r="J28" i="3"/>
  <c r="J26" i="3"/>
  <c r="J107" i="3"/>
  <c r="I176" i="3"/>
  <c r="I186" i="3"/>
  <c r="J153" i="3"/>
  <c r="I179" i="3"/>
  <c r="J135" i="3"/>
  <c r="J81" i="3"/>
  <c r="I42" i="3"/>
  <c r="J167" i="3"/>
  <c r="J74" i="3"/>
  <c r="I12" i="3"/>
  <c r="J100" i="3"/>
  <c r="I165" i="3"/>
  <c r="I89" i="3"/>
  <c r="J101" i="3"/>
  <c r="J124" i="3"/>
  <c r="J76" i="3"/>
  <c r="I83" i="3"/>
  <c r="J131" i="3"/>
  <c r="I148" i="3"/>
  <c r="J45" i="3"/>
  <c r="I119" i="3"/>
  <c r="J171" i="3"/>
  <c r="I16" i="3"/>
  <c r="J47" i="3"/>
  <c r="I87" i="3"/>
  <c r="J166" i="3"/>
  <c r="I4" i="3"/>
  <c r="J143" i="3"/>
  <c r="I75" i="3"/>
  <c r="J97" i="3"/>
  <c r="I122" i="3"/>
  <c r="J139" i="3"/>
  <c r="I180" i="3"/>
  <c r="I34" i="3"/>
  <c r="J108" i="3"/>
  <c r="I144" i="3"/>
  <c r="J8" i="3"/>
  <c r="I154" i="3"/>
  <c r="J38" i="3"/>
  <c r="I149" i="3"/>
  <c r="J125" i="3"/>
  <c r="I181" i="3"/>
  <c r="I182" i="3"/>
  <c r="J32" i="3"/>
  <c r="I43" i="3"/>
  <c r="J145" i="3"/>
  <c r="J31" i="3"/>
  <c r="I174" i="3"/>
  <c r="J155" i="3"/>
  <c r="I163" i="3"/>
  <c r="J147" i="3"/>
  <c r="I24" i="3"/>
  <c r="J195" i="3"/>
  <c r="G68" i="1"/>
  <c r="G51" i="1"/>
  <c r="G8" i="3"/>
  <c r="G38" i="3"/>
  <c r="G125" i="3"/>
  <c r="G29" i="3"/>
  <c r="G32" i="3"/>
  <c r="G145" i="3"/>
  <c r="G31" i="3"/>
  <c r="G155" i="3"/>
  <c r="G147" i="3"/>
  <c r="G195" i="3"/>
  <c r="G20" i="3"/>
  <c r="G41" i="3"/>
  <c r="G118" i="3"/>
  <c r="G128" i="3"/>
  <c r="G21" i="3"/>
  <c r="G53" i="3"/>
  <c r="G11" i="3"/>
  <c r="G192" i="3"/>
  <c r="G82" i="3"/>
  <c r="G138" i="3"/>
  <c r="G28" i="3"/>
  <c r="G26" i="3"/>
  <c r="G132" i="3"/>
  <c r="G107" i="3"/>
  <c r="G61" i="3"/>
  <c r="G175" i="3"/>
  <c r="G200" i="3"/>
  <c r="G66" i="3"/>
  <c r="G153" i="3"/>
  <c r="G135" i="3"/>
  <c r="G170" i="3"/>
  <c r="G81" i="3"/>
  <c r="G150" i="3"/>
  <c r="G167" i="3"/>
  <c r="G74" i="3"/>
  <c r="G139" i="3"/>
  <c r="G116" i="3"/>
  <c r="G108" i="3"/>
  <c r="G35" i="3"/>
  <c r="G77" i="3"/>
  <c r="G100" i="3"/>
  <c r="G2" i="3"/>
  <c r="G6" i="3"/>
  <c r="G50" i="3"/>
  <c r="G33" i="3"/>
  <c r="G198" i="3"/>
  <c r="G173" i="3"/>
  <c r="G14" i="3"/>
  <c r="G142" i="3"/>
  <c r="G93" i="3"/>
  <c r="G115" i="3"/>
  <c r="G114" i="3"/>
  <c r="G109" i="3"/>
  <c r="G177" i="3"/>
  <c r="G23" i="3"/>
  <c r="G176" i="3"/>
  <c r="G15" i="3"/>
  <c r="G186" i="3"/>
  <c r="G62" i="3"/>
  <c r="G99" i="3"/>
  <c r="G179" i="3"/>
  <c r="G65" i="3"/>
  <c r="G187" i="3"/>
  <c r="G42" i="3"/>
  <c r="G98" i="3"/>
  <c r="G12" i="3"/>
  <c r="G165" i="3"/>
  <c r="G111" i="3"/>
  <c r="G59" i="3"/>
  <c r="G178" i="3"/>
  <c r="G83" i="3"/>
  <c r="G148" i="3"/>
  <c r="G119" i="3"/>
  <c r="G16" i="3"/>
  <c r="G87" i="3"/>
  <c r="G4" i="3"/>
  <c r="G75" i="3"/>
  <c r="G122" i="3"/>
  <c r="G180" i="3"/>
  <c r="G34" i="3"/>
  <c r="G144" i="3"/>
  <c r="G154" i="3"/>
  <c r="G149" i="3"/>
  <c r="G181" i="3"/>
  <c r="G182" i="3"/>
  <c r="G43" i="3"/>
  <c r="G130" i="3"/>
  <c r="G174" i="3"/>
  <c r="G163" i="3"/>
  <c r="G24" i="3"/>
  <c r="G96" i="3"/>
  <c r="G104" i="3"/>
  <c r="G80" i="3"/>
  <c r="G89" i="3"/>
  <c r="G121" i="3"/>
  <c r="G5" i="3"/>
  <c r="G71" i="3"/>
  <c r="G140" i="3"/>
  <c r="G57" i="3"/>
  <c r="G110" i="3"/>
  <c r="G102" i="3"/>
  <c r="G10" i="3"/>
  <c r="G151" i="3"/>
  <c r="G30" i="3"/>
  <c r="G129" i="3"/>
  <c r="G54" i="3"/>
  <c r="G152" i="3"/>
  <c r="G160" i="3"/>
  <c r="G95" i="3"/>
  <c r="G60" i="3"/>
  <c r="G73" i="3"/>
  <c r="G56" i="3"/>
  <c r="G25" i="3"/>
  <c r="G113" i="3"/>
  <c r="G123" i="3"/>
  <c r="G44" i="3"/>
  <c r="G190" i="3"/>
  <c r="G168" i="3"/>
  <c r="G134" i="3"/>
  <c r="G126" i="3"/>
  <c r="G188" i="3"/>
  <c r="G94" i="3"/>
  <c r="G101" i="3"/>
  <c r="G13" i="3"/>
  <c r="G157" i="3"/>
  <c r="G55" i="3"/>
  <c r="G19" i="3"/>
  <c r="G72" i="3"/>
  <c r="G51" i="3"/>
  <c r="G27" i="3"/>
  <c r="G106" i="3"/>
  <c r="G37" i="3"/>
  <c r="G185" i="3"/>
  <c r="G58" i="3"/>
  <c r="G137" i="3"/>
  <c r="G194" i="3"/>
  <c r="G64" i="3"/>
  <c r="G156" i="3"/>
  <c r="G120" i="3"/>
  <c r="G46" i="3"/>
  <c r="G9" i="3"/>
  <c r="G18" i="3"/>
  <c r="G3" i="3"/>
  <c r="G7" i="3"/>
  <c r="G189" i="3"/>
  <c r="G193" i="3"/>
  <c r="G191" i="3"/>
  <c r="G40" i="3"/>
  <c r="G196" i="3"/>
  <c r="G92" i="3"/>
  <c r="G17" i="3"/>
  <c r="G70" i="3"/>
  <c r="G48" i="3"/>
  <c r="G146" i="3"/>
  <c r="G133" i="3"/>
  <c r="G49" i="3"/>
  <c r="G69" i="3"/>
  <c r="G127" i="3"/>
  <c r="G199" i="3"/>
  <c r="G159" i="3"/>
  <c r="G22" i="3"/>
  <c r="G184" i="3"/>
  <c r="G67" i="3"/>
  <c r="G84" i="3"/>
  <c r="G136" i="3"/>
  <c r="G103" i="3"/>
  <c r="G78" i="3"/>
  <c r="G169" i="3"/>
  <c r="G105" i="3"/>
  <c r="G117" i="3"/>
  <c r="G91" i="3"/>
  <c r="G201" i="3"/>
  <c r="G63" i="3"/>
  <c r="G141" i="3"/>
  <c r="G52" i="3"/>
  <c r="G36" i="3"/>
  <c r="G161" i="3"/>
  <c r="G79" i="3"/>
  <c r="G112" i="3"/>
  <c r="G172" i="3"/>
  <c r="G183" i="3"/>
  <c r="G124" i="3"/>
  <c r="G76" i="3"/>
  <c r="G131" i="3"/>
  <c r="G45" i="3"/>
  <c r="G171" i="3"/>
  <c r="G47" i="3"/>
  <c r="G166" i="3"/>
  <c r="G143" i="3"/>
  <c r="G97" i="3"/>
  <c r="G164" i="3"/>
  <c r="G85" i="3"/>
  <c r="G68" i="3"/>
  <c r="G197" i="3"/>
  <c r="G86" i="3"/>
  <c r="G39" i="3"/>
  <c r="G90" i="3"/>
  <c r="G162" i="3"/>
  <c r="G158" i="3"/>
  <c r="G118" i="1"/>
  <c r="G86" i="1"/>
  <c r="G134" i="1"/>
  <c r="G190" i="1"/>
  <c r="G94" i="1"/>
  <c r="G73" i="1"/>
  <c r="G77" i="1"/>
  <c r="G6" i="1"/>
  <c r="I5" i="6"/>
  <c r="L2" i="6" s="1"/>
  <c r="I6" i="6"/>
  <c r="L3" i="6" s="1"/>
  <c r="I4" i="6"/>
  <c r="L1" i="6" s="1"/>
  <c r="I2" i="6"/>
  <c r="I3" i="6"/>
</calcChain>
</file>

<file path=xl/sharedStrings.xml><?xml version="1.0" encoding="utf-8"?>
<sst xmlns="http://schemas.openxmlformats.org/spreadsheetml/2006/main" count="4484" uniqueCount="1283">
  <si>
    <t>Coin Name</t>
  </si>
  <si>
    <t>Symbol</t>
  </si>
  <si>
    <t>Price</t>
  </si>
  <si>
    <t>% Change 1h</t>
  </si>
  <si>
    <t>% Change 24h</t>
  </si>
  <si>
    <t>% Change 7d</t>
  </si>
  <si>
    <t>Bitcoin</t>
  </si>
  <si>
    <t>BTC</t>
  </si>
  <si>
    <t>0.24%</t>
  </si>
  <si>
    <t>Ethereum</t>
  </si>
  <si>
    <t>ETH</t>
  </si>
  <si>
    <t>0.76%</t>
  </si>
  <si>
    <t>Tether</t>
  </si>
  <si>
    <t>USDT</t>
  </si>
  <si>
    <t>0.04%</t>
  </si>
  <si>
    <t>XRP</t>
  </si>
  <si>
    <t>0.55%</t>
  </si>
  <si>
    <t>BNB</t>
  </si>
  <si>
    <t>0.10%</t>
  </si>
  <si>
    <t>Solana</t>
  </si>
  <si>
    <t>SOL</t>
  </si>
  <si>
    <t>0.99%</t>
  </si>
  <si>
    <t>USDC</t>
  </si>
  <si>
    <t>0.03%</t>
  </si>
  <si>
    <t>TRON</t>
  </si>
  <si>
    <t>TRX</t>
  </si>
  <si>
    <t>0.36%</t>
  </si>
  <si>
    <t>Dogecoin</t>
  </si>
  <si>
    <t>DOGE</t>
  </si>
  <si>
    <t>0.94%</t>
  </si>
  <si>
    <t>Cardano</t>
  </si>
  <si>
    <t>ADA</t>
  </si>
  <si>
    <t>0.96%</t>
  </si>
  <si>
    <t>Pudgy Penguins</t>
  </si>
  <si>
    <t>PENGU</t>
  </si>
  <si>
    <t>1.40%</t>
  </si>
  <si>
    <t>Walrus</t>
  </si>
  <si>
    <t>WAL</t>
  </si>
  <si>
    <t>1.57%</t>
  </si>
  <si>
    <t>Raydium</t>
  </si>
  <si>
    <t>RAY</t>
  </si>
  <si>
    <t>1.17%</t>
  </si>
  <si>
    <t>Core</t>
  </si>
  <si>
    <t>CORE</t>
  </si>
  <si>
    <t>0.82%</t>
  </si>
  <si>
    <t>Tezos</t>
  </si>
  <si>
    <t>XTZ</t>
  </si>
  <si>
    <t>0.66%</t>
  </si>
  <si>
    <t>Pyth Network</t>
  </si>
  <si>
    <t>PYTH</t>
  </si>
  <si>
    <t>2.27%</t>
  </si>
  <si>
    <t>Flow</t>
  </si>
  <si>
    <t>FLOW</t>
  </si>
  <si>
    <t>1.00%</t>
  </si>
  <si>
    <t>Maple Finance</t>
  </si>
  <si>
    <t>SYRUP</t>
  </si>
  <si>
    <t>3.05%</t>
  </si>
  <si>
    <t>Decentraland</t>
  </si>
  <si>
    <t>MANA</t>
  </si>
  <si>
    <t>1.37%</t>
  </si>
  <si>
    <t>TrueUSD</t>
  </si>
  <si>
    <t>TUSD</t>
  </si>
  <si>
    <t>0.01%</t>
  </si>
  <si>
    <t>Fasttoken</t>
  </si>
  <si>
    <t>FTN</t>
  </si>
  <si>
    <t>Jupiter Perps LP</t>
  </si>
  <si>
    <t>JLP</t>
  </si>
  <si>
    <t>0.45%</t>
  </si>
  <si>
    <t>Zeebu</t>
  </si>
  <si>
    <t>ZBU</t>
  </si>
  <si>
    <t>0.06%</t>
  </si>
  <si>
    <t>Fellaz</t>
  </si>
  <si>
    <t>FLZ</t>
  </si>
  <si>
    <t>0.52%</t>
  </si>
  <si>
    <t>Usual USD</t>
  </si>
  <si>
    <t>USD0</t>
  </si>
  <si>
    <t>Ondo US Dollar Yield</t>
  </si>
  <si>
    <t>USDY</t>
  </si>
  <si>
    <t>Falcon USD</t>
  </si>
  <si>
    <t>USDf</t>
  </si>
  <si>
    <t>0.00%</t>
  </si>
  <si>
    <t>Loaded Lions</t>
  </si>
  <si>
    <t>LION</t>
  </si>
  <si>
    <t>would</t>
  </si>
  <si>
    <t>WOULD</t>
  </si>
  <si>
    <t>3.03%</t>
  </si>
  <si>
    <t>WhiteRock</t>
  </si>
  <si>
    <t>WHITE</t>
  </si>
  <si>
    <t>Ontology</t>
  </si>
  <si>
    <t>ONT</t>
  </si>
  <si>
    <t>1.14%</t>
  </si>
  <si>
    <t>Request</t>
  </si>
  <si>
    <t>REQ</t>
  </si>
  <si>
    <t>0.32%</t>
  </si>
  <si>
    <t>Paycoin</t>
  </si>
  <si>
    <t>PCI</t>
  </si>
  <si>
    <t>0.63%</t>
  </si>
  <si>
    <t>COTI</t>
  </si>
  <si>
    <t>0.95%</t>
  </si>
  <si>
    <t>Gravity (by Galxe)</t>
  </si>
  <si>
    <t>G</t>
  </si>
  <si>
    <t>1.13%</t>
  </si>
  <si>
    <t>Terra</t>
  </si>
  <si>
    <t>LUNA</t>
  </si>
  <si>
    <t>1.01%</t>
  </si>
  <si>
    <t>Solar</t>
  </si>
  <si>
    <t>SXP</t>
  </si>
  <si>
    <t>0.29%</t>
  </si>
  <si>
    <t>Destra Network</t>
  </si>
  <si>
    <t>DSYNC</t>
  </si>
  <si>
    <t>0.71%</t>
  </si>
  <si>
    <t>World Mobile Token</t>
  </si>
  <si>
    <t>WMTX</t>
  </si>
  <si>
    <t>0.54%</t>
  </si>
  <si>
    <t>SKALE</t>
  </si>
  <si>
    <t>SKL</t>
  </si>
  <si>
    <t>1.59%</t>
  </si>
  <si>
    <t>Usual</t>
  </si>
  <si>
    <t>USUAL</t>
  </si>
  <si>
    <t>Arcblock</t>
  </si>
  <si>
    <t>ABT</t>
  </si>
  <si>
    <t>0.69%</t>
  </si>
  <si>
    <t>Memecoin</t>
  </si>
  <si>
    <t>MEME</t>
  </si>
  <si>
    <t>1.88%</t>
  </si>
  <si>
    <t>MiL.k</t>
  </si>
  <si>
    <t>MLK</t>
  </si>
  <si>
    <t>0.14%</t>
  </si>
  <si>
    <t>dKargo</t>
  </si>
  <si>
    <t>DKA</t>
  </si>
  <si>
    <t>0.17%</t>
  </si>
  <si>
    <t>AI Companions</t>
  </si>
  <si>
    <t>AIC</t>
  </si>
  <si>
    <t>1.09%</t>
  </si>
  <si>
    <t>Degen</t>
  </si>
  <si>
    <t>DEGEN</t>
  </si>
  <si>
    <t>3.42%</t>
  </si>
  <si>
    <t>Aevo</t>
  </si>
  <si>
    <t>AEVO</t>
  </si>
  <si>
    <t>1.61%</t>
  </si>
  <si>
    <t>Spark</t>
  </si>
  <si>
    <t>SPK</t>
  </si>
  <si>
    <t>2.44%</t>
  </si>
  <si>
    <t>Global Commercial Business</t>
  </si>
  <si>
    <t>GCB</t>
  </si>
  <si>
    <t>0.02%</t>
  </si>
  <si>
    <t>NEM</t>
  </si>
  <si>
    <t>XEM</t>
  </si>
  <si>
    <t>0.53%</t>
  </si>
  <si>
    <t>Humans.ai</t>
  </si>
  <si>
    <t>HEART</t>
  </si>
  <si>
    <t>1.32%</t>
  </si>
  <si>
    <t>Oasys</t>
  </si>
  <si>
    <t>OAS</t>
  </si>
  <si>
    <t>0.18%</t>
  </si>
  <si>
    <t>Smooth Love Potion</t>
  </si>
  <si>
    <t>SLP</t>
  </si>
  <si>
    <t>1.53%</t>
  </si>
  <si>
    <t>Neutron</t>
  </si>
  <si>
    <t>NTRN</t>
  </si>
  <si>
    <t>0.92%</t>
  </si>
  <si>
    <t>Eurite</t>
  </si>
  <si>
    <t>EURI</t>
  </si>
  <si>
    <t>0.07%</t>
  </si>
  <si>
    <t>ANDY (ETH)</t>
  </si>
  <si>
    <t>ANDY</t>
  </si>
  <si>
    <t>0.57%</t>
  </si>
  <si>
    <t>GameBuild</t>
  </si>
  <si>
    <t>GAME</t>
  </si>
  <si>
    <t>Tornado Cash</t>
  </si>
  <si>
    <t>TORN</t>
  </si>
  <si>
    <t>DeFi Pulse Index</t>
  </si>
  <si>
    <t>DPI</t>
  </si>
  <si>
    <t>2.82%</t>
  </si>
  <si>
    <t>Kujira</t>
  </si>
  <si>
    <t>KUJI</t>
  </si>
  <si>
    <t>1.73%</t>
  </si>
  <si>
    <t>Gains Network</t>
  </si>
  <si>
    <t>GNS</t>
  </si>
  <si>
    <t>0.31%</t>
  </si>
  <si>
    <t>AVA (Travala)</t>
  </si>
  <si>
    <t>AVA</t>
  </si>
  <si>
    <t>0.49%</t>
  </si>
  <si>
    <t>DEAPcoin</t>
  </si>
  <si>
    <t>DEP</t>
  </si>
  <si>
    <t>0.25%</t>
  </si>
  <si>
    <t>The Arena</t>
  </si>
  <si>
    <t>ARENA</t>
  </si>
  <si>
    <t>Dohrnii</t>
  </si>
  <si>
    <t>DHN</t>
  </si>
  <si>
    <t>0.05%</t>
  </si>
  <si>
    <t>Ampleforth Governance Token</t>
  </si>
  <si>
    <t>FORTH</t>
  </si>
  <si>
    <t>0.44%</t>
  </si>
  <si>
    <t>Metadium</t>
  </si>
  <si>
    <t>META</t>
  </si>
  <si>
    <t>0.08%</t>
  </si>
  <si>
    <t>Shentu</t>
  </si>
  <si>
    <t>CTK</t>
  </si>
  <si>
    <t>Nakamoto Games</t>
  </si>
  <si>
    <t>NAKA</t>
  </si>
  <si>
    <t>Groestlcoin</t>
  </si>
  <si>
    <t>GRS</t>
  </si>
  <si>
    <t>0.15%</t>
  </si>
  <si>
    <t>Sui Name Service</t>
  </si>
  <si>
    <t>NS</t>
  </si>
  <si>
    <t>1.77%</t>
  </si>
  <si>
    <t>Haedal Protocol</t>
  </si>
  <si>
    <t>HAEDAL</t>
  </si>
  <si>
    <t>Fractal Bitcoin</t>
  </si>
  <si>
    <t>FB</t>
  </si>
  <si>
    <t>2.19%</t>
  </si>
  <si>
    <t>PlatON</t>
  </si>
  <si>
    <t>LAT</t>
  </si>
  <si>
    <t>NFPrompt</t>
  </si>
  <si>
    <t>NFP</t>
  </si>
  <si>
    <t>1.46%</t>
  </si>
  <si>
    <t>Orbiter Finance</t>
  </si>
  <si>
    <t>OBT</t>
  </si>
  <si>
    <t>4.27%</t>
  </si>
  <si>
    <t>Covalent X Token</t>
  </si>
  <si>
    <t>CXT</t>
  </si>
  <si>
    <t>0.33%</t>
  </si>
  <si>
    <t>OMG Network</t>
  </si>
  <si>
    <t>OMG</t>
  </si>
  <si>
    <t>Radiant Capital</t>
  </si>
  <si>
    <t>RDNT</t>
  </si>
  <si>
    <t>1.26%</t>
  </si>
  <si>
    <t>Klever Coin</t>
  </si>
  <si>
    <t>KLV</t>
  </si>
  <si>
    <t>0.42%</t>
  </si>
  <si>
    <t>Pups (Bitcoin)</t>
  </si>
  <si>
    <t>PUPS</t>
  </si>
  <si>
    <t>4.24%</t>
  </si>
  <si>
    <t>NATIX Network</t>
  </si>
  <si>
    <t>NATIX</t>
  </si>
  <si>
    <t>ORIGYN</t>
  </si>
  <si>
    <t>OGY</t>
  </si>
  <si>
    <t>1.24%</t>
  </si>
  <si>
    <t>Daddy Tate</t>
  </si>
  <si>
    <t>DADDY</t>
  </si>
  <si>
    <t>Impossible Finance Launchpad</t>
  </si>
  <si>
    <t>IDIA</t>
  </si>
  <si>
    <t>League of Kingdoms Arena</t>
  </si>
  <si>
    <t>LOKA</t>
  </si>
  <si>
    <t>1.04%</t>
  </si>
  <si>
    <t>Mango</t>
  </si>
  <si>
    <t>MNGO</t>
  </si>
  <si>
    <t>DAR Open Network</t>
  </si>
  <si>
    <t>D</t>
  </si>
  <si>
    <t>1.58%</t>
  </si>
  <si>
    <t>Alaya Governance Token</t>
  </si>
  <si>
    <t>AGT</t>
  </si>
  <si>
    <t>Port3 Network</t>
  </si>
  <si>
    <t>PORT3</t>
  </si>
  <si>
    <t>SIX Token</t>
  </si>
  <si>
    <t>SIX</t>
  </si>
  <si>
    <t>0.40%</t>
  </si>
  <si>
    <t>Cult DAO</t>
  </si>
  <si>
    <t>CULT</t>
  </si>
  <si>
    <t>crow with knife</t>
  </si>
  <si>
    <t>CAW</t>
  </si>
  <si>
    <t>Cortex</t>
  </si>
  <si>
    <t>CTXC</t>
  </si>
  <si>
    <t>0.11%</t>
  </si>
  <si>
    <t>Paris Saint-Germain Fan Token</t>
  </si>
  <si>
    <t>PSG</t>
  </si>
  <si>
    <t>Comtech Gold</t>
  </si>
  <si>
    <t>CGO</t>
  </si>
  <si>
    <t>Definitive</t>
  </si>
  <si>
    <t>EDGE</t>
  </si>
  <si>
    <t>Contentos</t>
  </si>
  <si>
    <t>COS</t>
  </si>
  <si>
    <t>0.73%</t>
  </si>
  <si>
    <t>Step Finance</t>
  </si>
  <si>
    <t>STEP</t>
  </si>
  <si>
    <t>2.51%</t>
  </si>
  <si>
    <t>OctaSpace</t>
  </si>
  <si>
    <t>OCTA</t>
  </si>
  <si>
    <t>Aura Finance</t>
  </si>
  <si>
    <t>AURA</t>
  </si>
  <si>
    <t>PIBBLE</t>
  </si>
  <si>
    <t>PIB</t>
  </si>
  <si>
    <t>4.05%</t>
  </si>
  <si>
    <t>U2U Network</t>
  </si>
  <si>
    <t>U2U</t>
  </si>
  <si>
    <t>0.51%</t>
  </si>
  <si>
    <t>Persistence One</t>
  </si>
  <si>
    <t>XPRT</t>
  </si>
  <si>
    <t>TROLL (SOL)</t>
  </si>
  <si>
    <t>TROLL</t>
  </si>
  <si>
    <t>WeFi</t>
  </si>
  <si>
    <t>WFI</t>
  </si>
  <si>
    <t>0.22%</t>
  </si>
  <si>
    <t>Dora Factory</t>
  </si>
  <si>
    <t>DORA</t>
  </si>
  <si>
    <t>1.41%</t>
  </si>
  <si>
    <t>Alon</t>
  </si>
  <si>
    <t>ALON</t>
  </si>
  <si>
    <t>Beefy</t>
  </si>
  <si>
    <t>BIFI</t>
  </si>
  <si>
    <t>0.16%</t>
  </si>
  <si>
    <t>Karate Combat</t>
  </si>
  <si>
    <t>KARATE</t>
  </si>
  <si>
    <t>Efinity Token</t>
  </si>
  <si>
    <t>EFI</t>
  </si>
  <si>
    <t>Nura Labs</t>
  </si>
  <si>
    <t>NURA</t>
  </si>
  <si>
    <t>0.12%</t>
  </si>
  <si>
    <t>Nexera</t>
  </si>
  <si>
    <t>NXRA</t>
  </si>
  <si>
    <t>0.88%</t>
  </si>
  <si>
    <t>Department Of Government Efficiency (dogegov.com)</t>
  </si>
  <si>
    <t>1.39%</t>
  </si>
  <si>
    <t>moonpig</t>
  </si>
  <si>
    <t>MOONPIG</t>
  </si>
  <si>
    <t>Aerobud</t>
  </si>
  <si>
    <t>AEROBUD</t>
  </si>
  <si>
    <t>1.80%</t>
  </si>
  <si>
    <t>cheqd</t>
  </si>
  <si>
    <t>CHEQ</t>
  </si>
  <si>
    <t>Koma Inu</t>
  </si>
  <si>
    <t>KOMA</t>
  </si>
  <si>
    <t>2.18%</t>
  </si>
  <si>
    <t>Pitbull</t>
  </si>
  <si>
    <t>PIT</t>
  </si>
  <si>
    <t>1.42%</t>
  </si>
  <si>
    <t>Venus LTC</t>
  </si>
  <si>
    <t>vLTC</t>
  </si>
  <si>
    <t>KONET</t>
  </si>
  <si>
    <t>Creta World</t>
  </si>
  <si>
    <t>CRETA</t>
  </si>
  <si>
    <t>WazirX</t>
  </si>
  <si>
    <t>WRX</t>
  </si>
  <si>
    <t>Baanx</t>
  </si>
  <si>
    <t>BXX</t>
  </si>
  <si>
    <t>SwarmNode.ai</t>
  </si>
  <si>
    <t>SNAI</t>
  </si>
  <si>
    <t>Hathor</t>
  </si>
  <si>
    <t>HTR</t>
  </si>
  <si>
    <t>0.70%</t>
  </si>
  <si>
    <t>Venus DAI</t>
  </si>
  <si>
    <t>vDAI</t>
  </si>
  <si>
    <t>trac (Ordinals)</t>
  </si>
  <si>
    <t>TRAC</t>
  </si>
  <si>
    <t>AirSwap</t>
  </si>
  <si>
    <t>AST</t>
  </si>
  <si>
    <t>1.97%</t>
  </si>
  <si>
    <t>nubcat</t>
  </si>
  <si>
    <t>NUB</t>
  </si>
  <si>
    <t>CrossFi</t>
  </si>
  <si>
    <t>XFI</t>
  </si>
  <si>
    <t>Tron Bull</t>
  </si>
  <si>
    <t>BULL</t>
  </si>
  <si>
    <t>Openfabric AI</t>
  </si>
  <si>
    <t>OFN</t>
  </si>
  <si>
    <t>Electric Vehicle Zone</t>
  </si>
  <si>
    <t>EVZ</t>
  </si>
  <si>
    <t>0.35%</t>
  </si>
  <si>
    <t>Metahero</t>
  </si>
  <si>
    <t>HERO</t>
  </si>
  <si>
    <t>0.20%</t>
  </si>
  <si>
    <t>Inter Milan Fan Token</t>
  </si>
  <si>
    <t>INTER</t>
  </si>
  <si>
    <t>Darkpino</t>
  </si>
  <si>
    <t>DPINO</t>
  </si>
  <si>
    <t>0.37%</t>
  </si>
  <si>
    <t>Velas</t>
  </si>
  <si>
    <t>VLX</t>
  </si>
  <si>
    <t>Abelian</t>
  </si>
  <si>
    <t>ABEL</t>
  </si>
  <si>
    <t>0.62%</t>
  </si>
  <si>
    <t>Electra Protocol</t>
  </si>
  <si>
    <t>XEP</t>
  </si>
  <si>
    <t>Kin</t>
  </si>
  <si>
    <t>KIN</t>
  </si>
  <si>
    <t>4.64%</t>
  </si>
  <si>
    <t>KiloEx</t>
  </si>
  <si>
    <t>KILO</t>
  </si>
  <si>
    <t>Privasea AI</t>
  </si>
  <si>
    <t>PRAI</t>
  </si>
  <si>
    <t>MAD</t>
  </si>
  <si>
    <t>Robonomics.network</t>
  </si>
  <si>
    <t>XRT</t>
  </si>
  <si>
    <t>Alitas</t>
  </si>
  <si>
    <t>ALT</t>
  </si>
  <si>
    <t>0.90%</t>
  </si>
  <si>
    <t>Bytecoin</t>
  </si>
  <si>
    <t>BCN</t>
  </si>
  <si>
    <t>Morpheus.Network</t>
  </si>
  <si>
    <t>MNW</t>
  </si>
  <si>
    <t>1.72%</t>
  </si>
  <si>
    <t>WELF</t>
  </si>
  <si>
    <t>0.68%</t>
  </si>
  <si>
    <t>Cypherium</t>
  </si>
  <si>
    <t>CPH</t>
  </si>
  <si>
    <t>Dingocoin</t>
  </si>
  <si>
    <t>DINGO</t>
  </si>
  <si>
    <t>IBStoken</t>
  </si>
  <si>
    <t>IBS</t>
  </si>
  <si>
    <t>AIT Protocol</t>
  </si>
  <si>
    <t>AIT</t>
  </si>
  <si>
    <t>1.18%</t>
  </si>
  <si>
    <t>Bitcoin 2</t>
  </si>
  <si>
    <t>BTC2</t>
  </si>
  <si>
    <t>3.34%</t>
  </si>
  <si>
    <t>OmniFlix Network</t>
  </si>
  <si>
    <t>FLIX</t>
  </si>
  <si>
    <t>TRVL (Dtravel)</t>
  </si>
  <si>
    <t>TRVL</t>
  </si>
  <si>
    <t>0.09%</t>
  </si>
  <si>
    <t>DeBox</t>
  </si>
  <si>
    <t>BOX</t>
  </si>
  <si>
    <t>Akita Inu</t>
  </si>
  <si>
    <t>AKITA</t>
  </si>
  <si>
    <t>Hive Intelligence</t>
  </si>
  <si>
    <t>HINT</t>
  </si>
  <si>
    <t>Sentio AI</t>
  </si>
  <si>
    <t>SEN</t>
  </si>
  <si>
    <t>2.67%</t>
  </si>
  <si>
    <t>Sylo</t>
  </si>
  <si>
    <t>SYLO</t>
  </si>
  <si>
    <t>0.97%</t>
  </si>
  <si>
    <t>PornRocket</t>
  </si>
  <si>
    <t>PORNROCKET</t>
  </si>
  <si>
    <t>FNCY</t>
  </si>
  <si>
    <t>Hoge Finance</t>
  </si>
  <si>
    <t>HOGE</t>
  </si>
  <si>
    <t>2.48%</t>
  </si>
  <si>
    <t>Big Data Protocol</t>
  </si>
  <si>
    <t>BDP</t>
  </si>
  <si>
    <t>Byte</t>
  </si>
  <si>
    <t>BYTE</t>
  </si>
  <si>
    <t>Universe Boss Coin</t>
  </si>
  <si>
    <t>UBC</t>
  </si>
  <si>
    <t>0.59%</t>
  </si>
  <si>
    <t>ADAMANT Messenger</t>
  </si>
  <si>
    <t>ADM</t>
  </si>
  <si>
    <t>CHADETTE</t>
  </si>
  <si>
    <t>0.80%</t>
  </si>
  <si>
    <t>NULS</t>
  </si>
  <si>
    <t>0.81%</t>
  </si>
  <si>
    <t>Quq</t>
  </si>
  <si>
    <t>QUQ</t>
  </si>
  <si>
    <t>RigoBlock</t>
  </si>
  <si>
    <t>GRG</t>
  </si>
  <si>
    <t>LEGIT</t>
  </si>
  <si>
    <t>1.56%</t>
  </si>
  <si>
    <t>Super Zero Protocol</t>
  </si>
  <si>
    <t>SERO</t>
  </si>
  <si>
    <t>Letit</t>
  </si>
  <si>
    <t>LETIT</t>
  </si>
  <si>
    <t>1.21%</t>
  </si>
  <si>
    <t>GoChain</t>
  </si>
  <si>
    <t>GO</t>
  </si>
  <si>
    <t>BlackCardCoin</t>
  </si>
  <si>
    <t>BCCOIN</t>
  </si>
  <si>
    <t>1.20%</t>
  </si>
  <si>
    <t>Habibi</t>
  </si>
  <si>
    <t>HABIBI</t>
  </si>
  <si>
    <t>Striker League</t>
  </si>
  <si>
    <t>MBS</t>
  </si>
  <si>
    <t>Ctrl Wallet</t>
  </si>
  <si>
    <t>CTRL</t>
  </si>
  <si>
    <t>18.79%</t>
  </si>
  <si>
    <t>Etherisc DIP Token</t>
  </si>
  <si>
    <t>DIP</t>
  </si>
  <si>
    <t>Rubic</t>
  </si>
  <si>
    <t>RBC</t>
  </si>
  <si>
    <t>0.28%</t>
  </si>
  <si>
    <t>BizAuto</t>
  </si>
  <si>
    <t>BIZA</t>
  </si>
  <si>
    <t>BIGFACTS</t>
  </si>
  <si>
    <t>Didi Bam Bam</t>
  </si>
  <si>
    <t>DDBAM</t>
  </si>
  <si>
    <t>Rebel Cars</t>
  </si>
  <si>
    <t>RC</t>
  </si>
  <si>
    <t>1.10%</t>
  </si>
  <si>
    <t>Vulcan Forged (LAVA)</t>
  </si>
  <si>
    <t>LAVA</t>
  </si>
  <si>
    <t>DeHub</t>
  </si>
  <si>
    <t>DHB</t>
  </si>
  <si>
    <t>Mubarakah</t>
  </si>
  <si>
    <t>MUBARAKAH</t>
  </si>
  <si>
    <t>TOWER</t>
  </si>
  <si>
    <t>Octokn</t>
  </si>
  <si>
    <t>OTK</t>
  </si>
  <si>
    <t>StarSlax</t>
  </si>
  <si>
    <t>SSLX</t>
  </si>
  <si>
    <t>0.43%</t>
  </si>
  <si>
    <t>Ertha</t>
  </si>
  <si>
    <t>ERTHA</t>
  </si>
  <si>
    <t>0.19%</t>
  </si>
  <si>
    <t>SafeCoin</t>
  </si>
  <si>
    <t>SAFE</t>
  </si>
  <si>
    <t>Dolos The Bully</t>
  </si>
  <si>
    <t>BULLY</t>
  </si>
  <si>
    <t>LanLan Cat</t>
  </si>
  <si>
    <t>LANLAN</t>
  </si>
  <si>
    <t>11.77%</t>
  </si>
  <si>
    <t>Torum</t>
  </si>
  <si>
    <t>XTM</t>
  </si>
  <si>
    <t>2.94%</t>
  </si>
  <si>
    <t>SUNCAT</t>
  </si>
  <si>
    <t>0.79%</t>
  </si>
  <si>
    <t>HOME3</t>
  </si>
  <si>
    <t>HTS</t>
  </si>
  <si>
    <t>2.06%</t>
  </si>
  <si>
    <t>Avg Downfall %</t>
  </si>
  <si>
    <t>Price Range</t>
  </si>
  <si>
    <t>Row Labels</t>
  </si>
  <si>
    <t>Grand Total</t>
  </si>
  <si>
    <t>Min of Avg Downfall %</t>
  </si>
  <si>
    <t>Avg Downfall</t>
  </si>
  <si>
    <t xml:space="preserve">Total coins </t>
  </si>
  <si>
    <t>Count of Coin Name</t>
  </si>
  <si>
    <t xml:space="preserve">Coin Name </t>
  </si>
  <si>
    <t>Crypto Investment KPI Dashboard</t>
  </si>
  <si>
    <t>7d Before Price</t>
  </si>
  <si>
    <t>24h Before Price</t>
  </si>
  <si>
    <t>1h Change (Number)</t>
  </si>
  <si>
    <t>Prev 1h Price</t>
  </si>
  <si>
    <t>Price Change</t>
  </si>
  <si>
    <t>Price Range 2</t>
  </si>
  <si>
    <t>Price Range 3</t>
  </si>
  <si>
    <t>Price (USD)</t>
  </si>
  <si>
    <t>1h Change (%)</t>
  </si>
  <si>
    <t>Volume (24h) USD</t>
  </si>
  <si>
    <t>$104,058.04</t>
  </si>
  <si>
    <t>$43,170,391,288</t>
  </si>
  <si>
    <t>$2,483.59</t>
  </si>
  <si>
    <t>$14,942,260,356</t>
  </si>
  <si>
    <t>$0.9999</t>
  </si>
  <si>
    <t>$60,772,601,456</t>
  </si>
  <si>
    <t>$2.12</t>
  </si>
  <si>
    <t>$2,046,333,328</t>
  </si>
  <si>
    <t>$644.79</t>
  </si>
  <si>
    <t>$1,497,928,447</t>
  </si>
  <si>
    <t>$142.67</t>
  </si>
  <si>
    <t>$2,904,341,748</t>
  </si>
  <si>
    <t>$0.9998</t>
  </si>
  <si>
    <t>$8,208,315,257</t>
  </si>
  <si>
    <t>$0.2734</t>
  </si>
  <si>
    <t>$445,406,337</t>
  </si>
  <si>
    <t>$0.1654</t>
  </si>
  <si>
    <t>$781,433,558</t>
  </si>
  <si>
    <t>$0.5808</t>
  </si>
  <si>
    <t>$539,447,597</t>
  </si>
  <si>
    <t>$0.009096</t>
  </si>
  <si>
    <t>$60,468,868</t>
  </si>
  <si>
    <t>$0.4205</t>
  </si>
  <si>
    <t>$22,854,744</t>
  </si>
  <si>
    <t>$2.06</t>
  </si>
  <si>
    <t>$110,228,545</t>
  </si>
  <si>
    <t>$0.5443</t>
  </si>
  <si>
    <t>$14,386,742</t>
  </si>
  <si>
    <t>$0.5207</t>
  </si>
  <si>
    <t>$14,355,952</t>
  </si>
  <si>
    <t>$0.09453</t>
  </si>
  <si>
    <t>$27,917,564</t>
  </si>
  <si>
    <t>$0.3394</t>
  </si>
  <si>
    <t>$21,157,648</t>
  </si>
  <si>
    <t>$0.4626</t>
  </si>
  <si>
    <t>$70,946,476</t>
  </si>
  <si>
    <t>$0.2505</t>
  </si>
  <si>
    <t>$25,685,731</t>
  </si>
  <si>
    <t>$0.9976</t>
  </si>
  <si>
    <t>$60,347,807</t>
  </si>
  <si>
    <t>$4.45</t>
  </si>
  <si>
    <t>$58,305,626</t>
  </si>
  <si>
    <t>$4.32</t>
  </si>
  <si>
    <t>$17,245,756</t>
  </si>
  <si>
    <t>$3.26</t>
  </si>
  <si>
    <t>$486,945</t>
  </si>
  <si>
    <t>$1.43</t>
  </si>
  <si>
    <t>$2,595,867</t>
  </si>
  <si>
    <t>$0.9977</t>
  </si>
  <si>
    <t>$6,754,108</t>
  </si>
  <si>
    <t>$1.09</t>
  </si>
  <si>
    <t>$2,293,702</t>
  </si>
  <si>
    <t>$0.9997</t>
  </si>
  <si>
    <t>$3,265,776</t>
  </si>
  <si>
    <t>$0.01647</t>
  </si>
  <si>
    <t>$183,208</t>
  </si>
  <si>
    <t>$0.4946</t>
  </si>
  <si>
    <t>$138,536</t>
  </si>
  <si>
    <t>$0.0007355</t>
  </si>
  <si>
    <t>$772,538</t>
  </si>
  <si>
    <t>$0.1205</t>
  </si>
  <si>
    <t>$4,884,866</t>
  </si>
  <si>
    <t>$0.1336</t>
  </si>
  <si>
    <t>$3,268,919</t>
  </si>
  <si>
    <t>$0.1043</t>
  </si>
  <si>
    <t>$4,086,544</t>
  </si>
  <si>
    <t>$0.05028</t>
  </si>
  <si>
    <t>$5,574,946</t>
  </si>
  <si>
    <t>$0.01148</t>
  </si>
  <si>
    <t>$6,571,559</t>
  </si>
  <si>
    <t>$0.1536</t>
  </si>
  <si>
    <t>$11,365,168</t>
  </si>
  <si>
    <t>$0.1680</t>
  </si>
  <si>
    <t>$44,129,611</t>
  </si>
  <si>
    <t>$0.1111</t>
  </si>
  <si>
    <t>$1,068,402</t>
  </si>
  <si>
    <t>$0.1537</t>
  </si>
  <si>
    <t>$7,215,924</t>
  </si>
  <si>
    <t>$0.01813</t>
  </si>
  <si>
    <t>$8,143,928</t>
  </si>
  <si>
    <t>$0.07198</t>
  </si>
  <si>
    <t>$25,758,134</t>
  </si>
  <si>
    <t>$0.7374</t>
  </si>
  <si>
    <t>$522,812</t>
  </si>
  <si>
    <t>$0.001517</t>
  </si>
  <si>
    <t>$15,717,380</t>
  </si>
  <si>
    <t>$0.1538</t>
  </si>
  <si>
    <t>$4,873,644</t>
  </si>
  <si>
    <t>$0.01544</t>
  </si>
  <si>
    <t>$1,356,568</t>
  </si>
  <si>
    <t>$0.09574</t>
  </si>
  <si>
    <t>$9,190,572</t>
  </si>
  <si>
    <t>$0.003229</t>
  </si>
  <si>
    <t>$7,399,528</t>
  </si>
  <si>
    <t>$0.07876</t>
  </si>
  <si>
    <t>$12,716,009</t>
  </si>
  <si>
    <t>$0.04205</t>
  </si>
  <si>
    <t>$135,025,163</t>
  </si>
  <si>
    <t>$0.05947</t>
  </si>
  <si>
    <t>$12,909</t>
  </si>
  <si>
    <t>$0.006272</t>
  </si>
  <si>
    <t>$16,850,030</t>
  </si>
  <si>
    <t>$0.006635</t>
  </si>
  <si>
    <t>$448,016</t>
  </si>
  <si>
    <t>$0.01177</t>
  </si>
  <si>
    <t>$817,224</t>
  </si>
  <si>
    <t>$0.001253</t>
  </si>
  <si>
    <t>$5,590,436</t>
  </si>
  <si>
    <t>$0.08626</t>
  </si>
  <si>
    <t>$2,536,218</t>
  </si>
  <si>
    <t>$1.15</t>
  </si>
  <si>
    <t>$22,680,605</t>
  </si>
  <si>
    <t>$0.00005125</t>
  </si>
  <si>
    <t>$1,414,981</t>
  </si>
  <si>
    <t>$0.002875</t>
  </si>
  <si>
    <t>$3,358,220</t>
  </si>
  <si>
    <t>$9.67</t>
  </si>
  <si>
    <t>$101,491</t>
  </si>
  <si>
    <t>$90.45</t>
  </si>
  <si>
    <t>$21,125</t>
  </si>
  <si>
    <t>$0.3031</t>
  </si>
  <si>
    <t>$17,173</t>
  </si>
  <si>
    <t>$1.26</t>
  </si>
  <si>
    <t>$1,913,531</t>
  </si>
  <si>
    <t>$0.5361</t>
  </si>
  <si>
    <t>$5,008,504</t>
  </si>
  <si>
    <t>$0.001245</t>
  </si>
  <si>
    <t>$1,669,915</t>
  </si>
  <si>
    <t>$0.01497</t>
  </si>
  <si>
    <t>$260,802</t>
  </si>
  <si>
    <t>$2.13</t>
  </si>
  <si>
    <t>$867,656</t>
  </si>
  <si>
    <t>$2.53</t>
  </si>
  <si>
    <t>$2,914,375</t>
  </si>
  <si>
    <t>$0.02100</t>
  </si>
  <si>
    <t>$252,063</t>
  </si>
  <si>
    <t>$0.2442</t>
  </si>
  <si>
    <t>$3,564,164</t>
  </si>
  <si>
    <t>$0.3388</t>
  </si>
  <si>
    <t>$8,693,511</t>
  </si>
  <si>
    <t>$0.2993</t>
  </si>
  <si>
    <t>$254,347</t>
  </si>
  <si>
    <t>$0.1401</t>
  </si>
  <si>
    <t>$2,161,326</t>
  </si>
  <si>
    <t>$0.1279</t>
  </si>
  <si>
    <t>$33,236,555</t>
  </si>
  <si>
    <t>$0.5232</t>
  </si>
  <si>
    <t>$5,485,485</t>
  </si>
  <si>
    <t>$0.003926</t>
  </si>
  <si>
    <t>$4,157,460</t>
  </si>
  <si>
    <t>$0.05651</t>
  </si>
  <si>
    <t>$3,148,017</t>
  </si>
  <si>
    <t>$0.008376</t>
  </si>
  <si>
    <t>$40,860,347</t>
  </si>
  <si>
    <t>$0.02654</t>
  </si>
  <si>
    <t>$2,231,412</t>
  </si>
  <si>
    <t>$0.1841</t>
  </si>
  <si>
    <t>$3,675,488</t>
  </si>
  <si>
    <t>$0.02085</t>
  </si>
  <si>
    <t>$5,290,020</t>
  </si>
  <si>
    <t>$0.002244</t>
  </si>
  <si>
    <t>$2,554,402</t>
  </si>
  <si>
    <t>$0.02041</t>
  </si>
  <si>
    <t>$174,082</t>
  </si>
  <si>
    <t>$0.001223</t>
  </si>
  <si>
    <t>$362,962</t>
  </si>
  <si>
    <t>$0.002523</t>
  </si>
  <si>
    <t>$268,389</t>
  </si>
  <si>
    <t>$0.03288</t>
  </si>
  <si>
    <t>$999,710</t>
  </si>
  <si>
    <t>$0.02881</t>
  </si>
  <si>
    <t>$47</t>
  </si>
  <si>
    <t>$0.05197</t>
  </si>
  <si>
    <t>$2,452,497</t>
  </si>
  <si>
    <t>$0.01749</t>
  </si>
  <si>
    <t>$45</t>
  </si>
  <si>
    <t>$0.03010</t>
  </si>
  <si>
    <t>$2,760,725</t>
  </si>
  <si>
    <t>$0.01390</t>
  </si>
  <si>
    <t>$7,675,089</t>
  </si>
  <si>
    <t>$0.04410</t>
  </si>
  <si>
    <t>$4,797,522</t>
  </si>
  <si>
    <t>$0.01837</t>
  </si>
  <si>
    <t>$884,405</t>
  </si>
  <si>
    <t>$0.053611</t>
  </si>
  <si>
    <t>$191,600</t>
  </si>
  <si>
    <t>$0.071993</t>
  </si>
  <si>
    <t>$326,498</t>
  </si>
  <si>
    <t>$0.06667</t>
  </si>
  <si>
    <t>$3,645,223</t>
  </si>
  <si>
    <t>$1.60</t>
  </si>
  <si>
    <t>$3,216,530</t>
  </si>
  <si>
    <t>$108.17</t>
  </si>
  <si>
    <t>$1,639,272</t>
  </si>
  <si>
    <t>$0.07508</t>
  </si>
  <si>
    <t>$1,739,142</t>
  </si>
  <si>
    <t>$0.002934</t>
  </si>
  <si>
    <t>$2,771,456</t>
  </si>
  <si>
    <t>$0.06844</t>
  </si>
  <si>
    <t>$128,760</t>
  </si>
  <si>
    <t>$0.3211</t>
  </si>
  <si>
    <t>$654,812</t>
  </si>
  <si>
    <t>$0.1823</t>
  </si>
  <si>
    <t>$3,185</t>
  </si>
  <si>
    <t>$0.0004951</t>
  </si>
  <si>
    <t>$4,772</t>
  </si>
  <si>
    <t>$0.007830</t>
  </si>
  <si>
    <t>$680,959</t>
  </si>
  <si>
    <t>$0.05599</t>
  </si>
  <si>
    <t>$2,332,177</t>
  </si>
  <si>
    <t>$0.01193</t>
  </si>
  <si>
    <t>$2,707,699</t>
  </si>
  <si>
    <t>$0.4212</t>
  </si>
  <si>
    <t>$708,276</t>
  </si>
  <si>
    <t>$0.02198</t>
  </si>
  <si>
    <t>$1,407,422</t>
  </si>
  <si>
    <t>$0.01163</t>
  </si>
  <si>
    <t>$1,737,116</t>
  </si>
  <si>
    <t>$146.92</t>
  </si>
  <si>
    <t>$525,209</t>
  </si>
  <si>
    <t>$0.0001392</t>
  </si>
  <si>
    <t>$202,163</t>
  </si>
  <si>
    <t>$0.1065</t>
  </si>
  <si>
    <t>N/A</t>
  </si>
  <si>
    <t>$0.001881</t>
  </si>
  <si>
    <t>$7,687,892</t>
  </si>
  <si>
    <t>$0.009059</t>
  </si>
  <si>
    <t>$75,137</t>
  </si>
  <si>
    <t>$0.009443</t>
  </si>
  <si>
    <t>$1,315,522</t>
  </si>
  <si>
    <t>$0.009081</t>
  </si>
  <si>
    <t>$8,504,736</t>
  </si>
  <si>
    <t>$0.009401</t>
  </si>
  <si>
    <t>$232,710</t>
  </si>
  <si>
    <t>$0.01413</t>
  </si>
  <si>
    <t>$351,905</t>
  </si>
  <si>
    <t>$0.01661</t>
  </si>
  <si>
    <t>$1,959,456</t>
  </si>
  <si>
    <t>$0.092256</t>
  </si>
  <si>
    <t>$196,385</t>
  </si>
  <si>
    <t>$1.69</t>
  </si>
  <si>
    <t>$0.03494</t>
  </si>
  <si>
    <t>$3,410,421</t>
  </si>
  <si>
    <t>$0.004794</t>
  </si>
  <si>
    <t>$191,443</t>
  </si>
  <si>
    <t>$0.01839</t>
  </si>
  <si>
    <t>$166,190</t>
  </si>
  <si>
    <t>$0.03672</t>
  </si>
  <si>
    <t>$43,739</t>
  </si>
  <si>
    <t>$0.007788</t>
  </si>
  <si>
    <t>$2,191,863</t>
  </si>
  <si>
    <t>$0.01508</t>
  </si>
  <si>
    <t>$495,661</t>
  </si>
  <si>
    <t>$0.02534</t>
  </si>
  <si>
    <t>$0.3309</t>
  </si>
  <si>
    <t>$721,629</t>
  </si>
  <si>
    <t>$0.03958</t>
  </si>
  <si>
    <t>$2,431,321</t>
  </si>
  <si>
    <t>$0.005521</t>
  </si>
  <si>
    <t>$973,654</t>
  </si>
  <si>
    <t>$0.09003</t>
  </si>
  <si>
    <t>$955,799</t>
  </si>
  <si>
    <t>$0.005448</t>
  </si>
  <si>
    <t>$1,056,108</t>
  </si>
  <si>
    <t>$0.02954</t>
  </si>
  <si>
    <t>$153,889</t>
  </si>
  <si>
    <t>$0.002286</t>
  </si>
  <si>
    <t>$130,770</t>
  </si>
  <si>
    <t>$0.001011</t>
  </si>
  <si>
    <t>$432,080</t>
  </si>
  <si>
    <t>$0.5306</t>
  </si>
  <si>
    <t>$697,351</t>
  </si>
  <si>
    <t>$0.005187</t>
  </si>
  <si>
    <t>$17,403</t>
  </si>
  <si>
    <t>$0.001885</t>
  </si>
  <si>
    <t>$392,111</t>
  </si>
  <si>
    <t>$0.04980</t>
  </si>
  <si>
    <t>$75,107</t>
  </si>
  <si>
    <t>$0.0002248</t>
  </si>
  <si>
    <t>$193,524</t>
  </si>
  <si>
    <t>$0.051470</t>
  </si>
  <si>
    <t>$168,650</t>
  </si>
  <si>
    <t>$0.01908</t>
  </si>
  <si>
    <t>$4,760,489</t>
  </si>
  <si>
    <t>$0.01953</t>
  </si>
  <si>
    <t>$4,951,893</t>
  </si>
  <si>
    <t>$0.053982</t>
  </si>
  <si>
    <t>$727,913</t>
  </si>
  <si>
    <t>$2.34</t>
  </si>
  <si>
    <t>$49,144</t>
  </si>
  <si>
    <t>$0.03321</t>
  </si>
  <si>
    <t>$14,376</t>
  </si>
  <si>
    <t>$0.00002164</t>
  </si>
  <si>
    <t>$658</t>
  </si>
  <si>
    <t>$0.08283</t>
  </si>
  <si>
    <t>$5,822</t>
  </si>
  <si>
    <t>$0.5305</t>
  </si>
  <si>
    <t>$85,411</t>
  </si>
  <si>
    <t>$0.008445</t>
  </si>
  <si>
    <t>$2,100</t>
  </si>
  <si>
    <t>$0.00002837</t>
  </si>
  <si>
    <t>$157,680</t>
  </si>
  <si>
    <t>$0.0008030</t>
  </si>
  <si>
    <t>$72,433</t>
  </si>
  <si>
    <t>$0.01094</t>
  </si>
  <si>
    <t>$117,948</t>
  </si>
  <si>
    <t>$0.1761</t>
  </si>
  <si>
    <t>$1,614</t>
  </si>
  <si>
    <t>$0.01286</t>
  </si>
  <si>
    <t>$1,659</t>
  </si>
  <si>
    <t>$0.007706</t>
  </si>
  <si>
    <t>$220,065</t>
  </si>
  <si>
    <t>$0.01060</t>
  </si>
  <si>
    <t>$155,287</t>
  </si>
  <si>
    <t>$0.074697</t>
  </si>
  <si>
    <t>$239,395</t>
  </si>
  <si>
    <t>$0.006908</t>
  </si>
  <si>
    <t>$977,333</t>
  </si>
  <si>
    <t>$0.02632</t>
  </si>
  <si>
    <t>$721,481</t>
  </si>
  <si>
    <t>$0.0004232</t>
  </si>
  <si>
    <t>$1,422,530</t>
  </si>
  <si>
    <t>$0.086727</t>
  </si>
  <si>
    <t>$0.002296</t>
  </si>
  <si>
    <t>$107,281</t>
  </si>
  <si>
    <t>$0.056380</t>
  </si>
  <si>
    <t>$465</t>
  </si>
  <si>
    <t>$0.04844</t>
  </si>
  <si>
    <t>$174,927</t>
  </si>
  <si>
    <t>$0.052624</t>
  </si>
  <si>
    <t>$287</t>
  </si>
  <si>
    <t>$0.002527</t>
  </si>
  <si>
    <t>$274,603</t>
  </si>
  <si>
    <t>$0.02283</t>
  </si>
  <si>
    <t>$69,191</t>
  </si>
  <si>
    <t>$0.002602</t>
  </si>
  <si>
    <t>$34,103</t>
  </si>
  <si>
    <t>$0.01772</t>
  </si>
  <si>
    <t>$1,983,713</t>
  </si>
  <si>
    <t>$0.002003</t>
  </si>
  <si>
    <t>$944,920</t>
  </si>
  <si>
    <t>$0.7384</t>
  </si>
  <si>
    <t>$0.002032</t>
  </si>
  <si>
    <t>$25,840</t>
  </si>
  <si>
    <t>$0.004565</t>
  </si>
  <si>
    <t>$290,910</t>
  </si>
  <si>
    <t>$0.03101</t>
  </si>
  <si>
    <t>$1,872</t>
  </si>
  <si>
    <t>$0.001507</t>
  </si>
  <si>
    <t>$117,957</t>
  </si>
  <si>
    <t>$0.1976</t>
  </si>
  <si>
    <t>$858,809</t>
  </si>
  <si>
    <t>$0.002419</t>
  </si>
  <si>
    <t>$62,197</t>
  </si>
  <si>
    <t>$0.003149</t>
  </si>
  <si>
    <t>$109,870</t>
  </si>
  <si>
    <t>$0.007828</t>
  </si>
  <si>
    <t>$106,039</t>
  </si>
  <si>
    <t>$0.006649</t>
  </si>
  <si>
    <t>$36</t>
  </si>
  <si>
    <t>$0.009631</t>
  </si>
  <si>
    <t>$201,257</t>
  </si>
  <si>
    <t>$0.0005920</t>
  </si>
  <si>
    <t>$1,660,204</t>
  </si>
  <si>
    <t>$0.003410</t>
  </si>
  <si>
    <t>$115,234</t>
  </si>
  <si>
    <t>$0.07514</t>
  </si>
  <si>
    <t>$119,741</t>
  </si>
  <si>
    <t>$0.007633</t>
  </si>
  <si>
    <t>$43,846</t>
  </si>
  <si>
    <t>$0.006391</t>
  </si>
  <si>
    <t>$0.0003842</t>
  </si>
  <si>
    <t>$0.001565</t>
  </si>
  <si>
    <t>$606,685</t>
  </si>
  <si>
    <t>$0.0004246</t>
  </si>
  <si>
    <t>$86,086</t>
  </si>
  <si>
    <t>$0.004085</t>
  </si>
  <si>
    <t>$11,736</t>
  </si>
  <si>
    <t>$0.0004946</t>
  </si>
  <si>
    <t>$150,756</t>
  </si>
  <si>
    <t>$0.0006265</t>
  </si>
  <si>
    <t>$1,332,029</t>
  </si>
  <si>
    <t>$0.04456</t>
  </si>
  <si>
    <t>$18</t>
  </si>
  <si>
    <t>$0.001286</t>
  </si>
  <si>
    <t>$395,470</t>
  </si>
  <si>
    <t>$0.0001380</t>
  </si>
  <si>
    <t>$1,609,979</t>
  </si>
  <si>
    <t>$0.006238</t>
  </si>
  <si>
    <t>$32,118</t>
  </si>
  <si>
    <t>$0.001220</t>
  </si>
  <si>
    <t>$2,223,596</t>
  </si>
  <si>
    <t>$0.01532</t>
  </si>
  <si>
    <t>$1,855</t>
  </si>
  <si>
    <t>Filter</t>
  </si>
  <si>
    <t>Volume Numeric</t>
  </si>
  <si>
    <t>Market Cap</t>
  </si>
  <si>
    <t>$2.07T</t>
  </si>
  <si>
    <t>$299.51B</t>
  </si>
  <si>
    <t>$155.95B</t>
  </si>
  <si>
    <t>$125.42B</t>
  </si>
  <si>
    <t>$90.84B</t>
  </si>
  <si>
    <t>$75.33B</t>
  </si>
  <si>
    <t>$61.23B</t>
  </si>
  <si>
    <t>$25.93B</t>
  </si>
  <si>
    <t>$24.77B</t>
  </si>
  <si>
    <t>$20.54B</t>
  </si>
  <si>
    <t>$571.84M</t>
  </si>
  <si>
    <t>$567M</t>
  </si>
  <si>
    <t>$551.36M</t>
  </si>
  <si>
    <t>$546.45M</t>
  </si>
  <si>
    <t>$545.72M</t>
  </si>
  <si>
    <t>$543.57M</t>
  </si>
  <si>
    <t>$539.91M</t>
  </si>
  <si>
    <t>$515.17M</t>
  </si>
  <si>
    <t>$493.58M</t>
  </si>
  <si>
    <t>$493.33M</t>
  </si>
  <si>
    <t>$1.95B</t>
  </si>
  <si>
    <t>$1.49B</t>
  </si>
  <si>
    <t>$846.7M</t>
  </si>
  <si>
    <t>$677.19M</t>
  </si>
  <si>
    <t>$652.01M</t>
  </si>
  <si>
    <t>$635.98M</t>
  </si>
  <si>
    <t>$563.5M</t>
  </si>
  <si>
    <t>$546.47M</t>
  </si>
  <si>
    <t>$494.41M</t>
  </si>
  <si>
    <t>$478.12M</t>
  </si>
  <si>
    <t>$110.11M</t>
  </si>
  <si>
    <t>$110.12M</t>
  </si>
  <si>
    <t>$109.85M</t>
  </si>
  <si>
    <t>$109.59M</t>
  </si>
  <si>
    <t>$109.13M</t>
  </si>
  <si>
    <t>$109.06M</t>
  </si>
  <si>
    <t>$108.68M</t>
  </si>
  <si>
    <t>$108.35M</t>
  </si>
  <si>
    <t>$108.02M</t>
  </si>
  <si>
    <t>$107.06M</t>
  </si>
  <si>
    <t>$72.72M</t>
  </si>
  <si>
    <t>$72.68M</t>
  </si>
  <si>
    <t>$72.35M</t>
  </si>
  <si>
    <t>$72.36M</t>
  </si>
  <si>
    <t>$72.37M</t>
  </si>
  <si>
    <t>$71.81M</t>
  </si>
  <si>
    <t>$71.33M</t>
  </si>
  <si>
    <t>$71.27M</t>
  </si>
  <si>
    <t>$71.5M</t>
  </si>
  <si>
    <t>$71.47M</t>
  </si>
  <si>
    <t>$56.45M</t>
  </si>
  <si>
    <t>$51.76M</t>
  </si>
  <si>
    <t>$51.5M</t>
  </si>
  <si>
    <t>$51.48M</t>
  </si>
  <si>
    <t>$51.37M</t>
  </si>
  <si>
    <t>$51.31M</t>
  </si>
  <si>
    <t>$51.26M</t>
  </si>
  <si>
    <t>$50.98M</t>
  </si>
  <si>
    <t>$50.88M</t>
  </si>
  <si>
    <t>$50.56M</t>
  </si>
  <si>
    <t>$37.1M</t>
  </si>
  <si>
    <t>$36.94M</t>
  </si>
  <si>
    <t>$36.9M</t>
  </si>
  <si>
    <t>$36.78M</t>
  </si>
  <si>
    <t>$36.73M</t>
  </si>
  <si>
    <t>$36.4M</t>
  </si>
  <si>
    <t>$36.37M</t>
  </si>
  <si>
    <t>$35.98M</t>
  </si>
  <si>
    <t>$35.96M</t>
  </si>
  <si>
    <t>$35.84M</t>
  </si>
  <si>
    <t>$26.28M</t>
  </si>
  <si>
    <t>$26.22M</t>
  </si>
  <si>
    <t>$26.07M</t>
  </si>
  <si>
    <t>$26.15M</t>
  </si>
  <si>
    <t>$25.94M</t>
  </si>
  <si>
    <t>$25.85M</t>
  </si>
  <si>
    <t>$25.97M</t>
  </si>
  <si>
    <t>$25.88M</t>
  </si>
  <si>
    <t>$25.83M</t>
  </si>
  <si>
    <t>$25.73M</t>
  </si>
  <si>
    <t>$19.94M</t>
  </si>
  <si>
    <t>$19.77M</t>
  </si>
  <si>
    <t>$19.74M</t>
  </si>
  <si>
    <t>$19.76M</t>
  </si>
  <si>
    <t>$19.72M</t>
  </si>
  <si>
    <t>$19.6M</t>
  </si>
  <si>
    <t>$19.56M</t>
  </si>
  <si>
    <t>$19.55M</t>
  </si>
  <si>
    <t>$19.51M</t>
  </si>
  <si>
    <t>$19.47M</t>
  </si>
  <si>
    <t>$15.61M</t>
  </si>
  <si>
    <t>$15.63M</t>
  </si>
  <si>
    <t>$15.6M</t>
  </si>
  <si>
    <t>$15.35M</t>
  </si>
  <si>
    <t>$15.36M</t>
  </si>
  <si>
    <t>$15.31M</t>
  </si>
  <si>
    <t>$15.25M</t>
  </si>
  <si>
    <t>$15.19M</t>
  </si>
  <si>
    <t>$15.15M</t>
  </si>
  <si>
    <t>$11.95M</t>
  </si>
  <si>
    <t>$11.96M</t>
  </si>
  <si>
    <t>$11.92M</t>
  </si>
  <si>
    <t>$11.85M</t>
  </si>
  <si>
    <t>$11.81M</t>
  </si>
  <si>
    <t>$11.61M</t>
  </si>
  <si>
    <t>$11.75M</t>
  </si>
  <si>
    <t>$9.28M</t>
  </si>
  <si>
    <t>$9.26M</t>
  </si>
  <si>
    <t>$9.17M</t>
  </si>
  <si>
    <t>$9.25M</t>
  </si>
  <si>
    <t>$9.08M</t>
  </si>
  <si>
    <t>$9.12M</t>
  </si>
  <si>
    <t>$9.07M</t>
  </si>
  <si>
    <t>$7.04M</t>
  </si>
  <si>
    <t>$7.03M</t>
  </si>
  <si>
    <t>$7.02M</t>
  </si>
  <si>
    <t>$6.99M</t>
  </si>
  <si>
    <t>$6.96M</t>
  </si>
  <si>
    <t>$6.95M</t>
  </si>
  <si>
    <t>$6.91M</t>
  </si>
  <si>
    <t>$5.25M</t>
  </si>
  <si>
    <t>$5.24M</t>
  </si>
  <si>
    <t>$5.18M</t>
  </si>
  <si>
    <t>$5.17M</t>
  </si>
  <si>
    <t>$5.16M</t>
  </si>
  <si>
    <t>$5.15M</t>
  </si>
  <si>
    <t>$5.14M</t>
  </si>
  <si>
    <t>$5.11M</t>
  </si>
  <si>
    <t>$4.1M</t>
  </si>
  <si>
    <t>$4.06M</t>
  </si>
  <si>
    <t>$4.04M</t>
  </si>
  <si>
    <t>$4.02M</t>
  </si>
  <si>
    <t>$3.98M</t>
  </si>
  <si>
    <t>$4M</t>
  </si>
  <si>
    <t>$3.99M</t>
  </si>
  <si>
    <t>$3.97M</t>
  </si>
  <si>
    <t>$3.94M</t>
  </si>
  <si>
    <t>$3.23M</t>
  </si>
  <si>
    <t>$3.22M</t>
  </si>
  <si>
    <t>$3.21M</t>
  </si>
  <si>
    <t>$3.2M</t>
  </si>
  <si>
    <t>$3.18M</t>
  </si>
  <si>
    <t>$2.58M</t>
  </si>
  <si>
    <t>$2.57M</t>
  </si>
  <si>
    <t>$2.51M</t>
  </si>
  <si>
    <t>$2.56M</t>
  </si>
  <si>
    <t>$2.53M</t>
  </si>
  <si>
    <t>$2.52M</t>
  </si>
  <si>
    <t>$2M</t>
  </si>
  <si>
    <t>$1.99M</t>
  </si>
  <si>
    <t>$1.98M</t>
  </si>
  <si>
    <t>$1.97M</t>
  </si>
  <si>
    <t>$1.6M</t>
  </si>
  <si>
    <t>$1.59M</t>
  </si>
  <si>
    <t>$1.58M</t>
  </si>
  <si>
    <t>$1.57M</t>
  </si>
  <si>
    <t>$1.24M</t>
  </si>
  <si>
    <t>$1.23M</t>
  </si>
  <si>
    <t>$1.21M</t>
  </si>
  <si>
    <t>$1.22M</t>
  </si>
  <si>
    <t>Circulating Supply</t>
  </si>
  <si>
    <t>19.88M</t>
  </si>
  <si>
    <t>120.72M</t>
  </si>
  <si>
    <t>155.94B</t>
  </si>
  <si>
    <t>58.93B</t>
  </si>
  <si>
    <t>140.88M</t>
  </si>
  <si>
    <t>527.96M</t>
  </si>
  <si>
    <t>61.23B</t>
  </si>
  <si>
    <t>94.82B</t>
  </si>
  <si>
    <t>149.76B</t>
  </si>
  <si>
    <t>35.36B</t>
  </si>
  <si>
    <t>62.86B</t>
  </si>
  <si>
    <t>1.34B</t>
  </si>
  <si>
    <t>267.62M</t>
  </si>
  <si>
    <t>1B</t>
  </si>
  <si>
    <t>1.04B</t>
  </si>
  <si>
    <t>5.74B</t>
  </si>
  <si>
    <t>1.59B</t>
  </si>
  <si>
    <t>1.11B</t>
  </si>
  <si>
    <t>1.96B</t>
  </si>
  <si>
    <t>494.51M</t>
  </si>
  <si>
    <t>436.26M</t>
  </si>
  <si>
    <t>343.49M</t>
  </si>
  <si>
    <t>258.97M</t>
  </si>
  <si>
    <t>471.87M</t>
  </si>
  <si>
    <t>653.46M</t>
  </si>
  <si>
    <t>581.35M</t>
  </si>
  <si>
    <t>563.65M</t>
  </si>
  <si>
    <t>33.16B</t>
  </si>
  <si>
    <t>999.45M</t>
  </si>
  <si>
    <t>650B</t>
  </si>
  <si>
    <t>913.69M</t>
  </si>
  <si>
    <t>824.21M</t>
  </si>
  <si>
    <t>1.05B</t>
  </si>
  <si>
    <t>2.17B</t>
  </si>
  <si>
    <t>9.5B</t>
  </si>
  <si>
    <t>709.98M</t>
  </si>
  <si>
    <t>646.86M</t>
  </si>
  <si>
    <t>974.94M</t>
  </si>
  <si>
    <t>702.77M</t>
  </si>
  <si>
    <t>5.9B</t>
  </si>
  <si>
    <t>1.01B</t>
  </si>
  <si>
    <t>98.55M</t>
  </si>
  <si>
    <t>47.67B</t>
  </si>
  <si>
    <t>470.44M</t>
  </si>
  <si>
    <t>4.68B</t>
  </si>
  <si>
    <t>749.99M</t>
  </si>
  <si>
    <t>22.09B</t>
  </si>
  <si>
    <t>904.86M</t>
  </si>
  <si>
    <t>1.7B</t>
  </si>
  <si>
    <t>1.2B</t>
  </si>
  <si>
    <t>8.99B</t>
  </si>
  <si>
    <t>7.8B</t>
  </si>
  <si>
    <t>4.37B</t>
  </si>
  <si>
    <t>41.08B</t>
  </si>
  <si>
    <t>595.52M</t>
  </si>
  <si>
    <t>44.52M</t>
  </si>
  <si>
    <t>1T</t>
  </si>
  <si>
    <t>17.72B</t>
  </si>
  <si>
    <t>5.26M</t>
  </si>
  <si>
    <t>558.98K</t>
  </si>
  <si>
    <t>122.34M</t>
  </si>
  <si>
    <t>29.27M</t>
  </si>
  <si>
    <t>68.83M</t>
  </si>
  <si>
    <t>29.54B</t>
  </si>
  <si>
    <t>2.45B</t>
  </si>
  <si>
    <t>17.07M</t>
  </si>
  <si>
    <t>14.34M</t>
  </si>
  <si>
    <t>1.71B</t>
  </si>
  <si>
    <t>147.24M</t>
  </si>
  <si>
    <t>105.76M</t>
  </si>
  <si>
    <t>87.8M</t>
  </si>
  <si>
    <t>187.11M</t>
  </si>
  <si>
    <t>203.75M</t>
  </si>
  <si>
    <t>49.97M</t>
  </si>
  <si>
    <t>6.6B</t>
  </si>
  <si>
    <t>457.31M</t>
  </si>
  <si>
    <t>3.1B</t>
  </si>
  <si>
    <t>974.89M</t>
  </si>
  <si>
    <t>140.24M</t>
  </si>
  <si>
    <t>1.23B</t>
  </si>
  <si>
    <t>8.88B</t>
  </si>
  <si>
    <t>968.44M</t>
  </si>
  <si>
    <t>16.13B</t>
  </si>
  <si>
    <t>7.82B</t>
  </si>
  <si>
    <t>599.63M</t>
  </si>
  <si>
    <t>680M</t>
  </si>
  <si>
    <t>376.38M</t>
  </si>
  <si>
    <t>647.87M</t>
  </si>
  <si>
    <t>1.4B</t>
  </si>
  <si>
    <t>353.95M</t>
  </si>
  <si>
    <t>850.96M</t>
  </si>
  <si>
    <t>4.31T</t>
  </si>
  <si>
    <t>769.86T</t>
  </si>
  <si>
    <t>230.41M</t>
  </si>
  <si>
    <t>9.55M</t>
  </si>
  <si>
    <t>141K</t>
  </si>
  <si>
    <t>203.02M</t>
  </si>
  <si>
    <t>5.17B</t>
  </si>
  <si>
    <t>221.4M</t>
  </si>
  <si>
    <t>37.22M</t>
  </si>
  <si>
    <t>65.6M</t>
  </si>
  <si>
    <t>24.15B</t>
  </si>
  <si>
    <t>1.52B</t>
  </si>
  <si>
    <t>213.36M</t>
  </si>
  <si>
    <t>998.98M</t>
  </si>
  <si>
    <t>28.13M</t>
  </si>
  <si>
    <t>537.27M</t>
  </si>
  <si>
    <t>997.96M</t>
  </si>
  <si>
    <t>80K</t>
  </si>
  <si>
    <t>66.64B</t>
  </si>
  <si>
    <t>86.91M</t>
  </si>
  <si>
    <t>4.87B</t>
  </si>
  <si>
    <t>1.02B</t>
  </si>
  <si>
    <t>979.12M</t>
  </si>
  <si>
    <t>999.93M</t>
  </si>
  <si>
    <t>970M</t>
  </si>
  <si>
    <t>642.49M</t>
  </si>
  <si>
    <t>545.96M</t>
  </si>
  <si>
    <t>40.19P</t>
  </si>
  <si>
    <t>4.14M</t>
  </si>
  <si>
    <t>201.31M</t>
  </si>
  <si>
    <t>1.46B</t>
  </si>
  <si>
    <t>381.85M</t>
  </si>
  <si>
    <t>191.31M</t>
  </si>
  <si>
    <t>902.46M</t>
  </si>
  <si>
    <t>463.58M</t>
  </si>
  <si>
    <t>274.53M</t>
  </si>
  <si>
    <t>21M</t>
  </si>
  <si>
    <t>174.47M</t>
  </si>
  <si>
    <t>950M</t>
  </si>
  <si>
    <t>58.23M</t>
  </si>
  <si>
    <t>950.27M</t>
  </si>
  <si>
    <t>174.84M</t>
  </si>
  <si>
    <t>2.25B</t>
  </si>
  <si>
    <t>5.09B</t>
  </si>
  <si>
    <t>9.7M</t>
  </si>
  <si>
    <t>991.83M</t>
  </si>
  <si>
    <t>2.72B</t>
  </si>
  <si>
    <t>102.56M</t>
  </si>
  <si>
    <t>18.21B</t>
  </si>
  <si>
    <t>2.75T</t>
  </si>
  <si>
    <t>211.7M</t>
  </si>
  <si>
    <t>206.03M</t>
  </si>
  <si>
    <t>999.97B</t>
  </si>
  <si>
    <t>1.7M</t>
  </si>
  <si>
    <t>120M</t>
  </si>
  <si>
    <t>184.06B</t>
  </si>
  <si>
    <t>47.89M</t>
  </si>
  <si>
    <t>7.43M</t>
  </si>
  <si>
    <t>382.95M</t>
  </si>
  <si>
    <t>113.75B</t>
  </si>
  <si>
    <t>4.02B</t>
  </si>
  <si>
    <t>294.58M</t>
  </si>
  <si>
    <t>18.34M</t>
  </si>
  <si>
    <t>250.75M</t>
  </si>
  <si>
    <t>416.64M</t>
  </si>
  <si>
    <t>302.73M</t>
  </si>
  <si>
    <t>68.07T</t>
  </si>
  <si>
    <t>460.37M</t>
  </si>
  <si>
    <t>98M</t>
  </si>
  <si>
    <t>6.08B</t>
  </si>
  <si>
    <t>382.55T</t>
  </si>
  <si>
    <t>393.4B</t>
  </si>
  <si>
    <t>52.85M</t>
  </si>
  <si>
    <t>964.46B</t>
  </si>
  <si>
    <t>110.37M</t>
  </si>
  <si>
    <t>967.15M</t>
  </si>
  <si>
    <t>112.88M</t>
  </si>
  <si>
    <t>2.7M</t>
  </si>
  <si>
    <t>978.95M</t>
  </si>
  <si>
    <t>436.07M</t>
  </si>
  <si>
    <t>63.99M</t>
  </si>
  <si>
    <t>1.31B</t>
  </si>
  <si>
    <t>10M</t>
  </si>
  <si>
    <t>814.34M</t>
  </si>
  <si>
    <t>625.43M</t>
  </si>
  <si>
    <t>203.92M</t>
  </si>
  <si>
    <t>239.74M</t>
  </si>
  <si>
    <t>165.28M</t>
  </si>
  <si>
    <t>2.67B</t>
  </si>
  <si>
    <t>462.04M</t>
  </si>
  <si>
    <t>206.35M</t>
  </si>
  <si>
    <t>245.89M</t>
  </si>
  <si>
    <t>4.07B</t>
  </si>
  <si>
    <t>2.91B</t>
  </si>
  <si>
    <t>303.13M</t>
  </si>
  <si>
    <t>2.5B</t>
  </si>
  <si>
    <t>1.97B</t>
  </si>
  <si>
    <t>27.73M</t>
  </si>
  <si>
    <t>960.55M</t>
  </si>
  <si>
    <t>194.09M</t>
  </si>
  <si>
    <t>79.5M</t>
  </si>
  <si>
    <t>Volume Diff</t>
  </si>
  <si>
    <t>Market Cap Diff</t>
  </si>
  <si>
    <t>Circulating Supply Diff</t>
  </si>
  <si>
    <t>Price Category</t>
  </si>
  <si>
    <t>Others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</si>
</sst>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_-[$$-409]* #,##0.00_ ;_-[$$-409]* \-#,##0.00\ ;_-[$$-409]* &quot;-&quot;??_ ;_-@_ "/>
    <numFmt numFmtId="166" formatCode="0.000%"/>
  </numFmts>
  <fonts count="7" x14ac:knownFonts="1">
    <font>
      <sz val="11"/>
      <color theme="1"/>
      <name val="Calibri"/>
      <family val="2"/>
      <scheme val="minor"/>
    </font>
    <font>
      <b/>
      <sz val="11"/>
      <color theme="1"/>
      <name val="Calibri"/>
      <family val="2"/>
      <scheme val="minor"/>
    </font>
    <font>
      <sz val="8"/>
      <name val="Calibri"/>
      <family val="2"/>
      <scheme val="minor"/>
    </font>
    <font>
      <sz val="11"/>
      <color theme="1"/>
      <name val="Calibri"/>
      <family val="2"/>
      <scheme val="minor"/>
    </font>
    <font>
      <b/>
      <sz val="11"/>
      <color theme="4" tint="-0.499984740745262"/>
      <name val="Calibri"/>
      <family val="2"/>
      <scheme val="minor"/>
    </font>
    <font>
      <b/>
      <sz val="11"/>
      <color theme="0"/>
      <name val="Calibri"/>
      <family val="2"/>
      <scheme val="minor"/>
    </font>
    <font>
      <b/>
      <sz val="16"/>
      <color theme="1"/>
      <name val="Calibri"/>
      <family val="2"/>
      <scheme val="minor"/>
    </font>
  </fonts>
  <fills count="9">
    <fill>
      <patternFill patternType="none"/>
    </fill>
    <fill>
      <patternFill patternType="gray125"/>
    </fill>
    <fill>
      <patternFill patternType="solid">
        <fgColor theme="7" tint="0.39997558519241921"/>
        <bgColor indexed="64"/>
      </patternFill>
    </fill>
    <fill>
      <patternFill patternType="solid">
        <fgColor theme="9"/>
        <bgColor indexed="64"/>
      </patternFill>
    </fill>
    <fill>
      <patternFill patternType="solid">
        <fgColor theme="1"/>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4" tint="0.39997558519241921"/>
        <bgColor indexed="64"/>
      </patternFill>
    </fill>
  </fills>
  <borders count="4">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top/>
      <bottom/>
      <diagonal/>
    </border>
  </borders>
  <cellStyleXfs count="2">
    <xf numFmtId="0" fontId="0" fillId="0" borderId="0"/>
    <xf numFmtId="9" fontId="3" fillId="0" borderId="0" applyFont="0" applyFill="0" applyBorder="0" applyAlignment="0" applyProtection="0"/>
  </cellStyleXfs>
  <cellXfs count="28">
    <xf numFmtId="0" fontId="0" fillId="0" borderId="0" xfId="0"/>
    <xf numFmtId="0" fontId="1" fillId="0" borderId="0" xfId="0" applyFont="1"/>
    <xf numFmtId="4" fontId="0" fillId="0" borderId="0" xfId="0" applyNumberFormat="1"/>
    <xf numFmtId="0" fontId="0" fillId="0" borderId="0" xfId="0" pivotButton="1"/>
    <xf numFmtId="0" fontId="0" fillId="0" borderId="0" xfId="0" applyAlignment="1">
      <alignment horizontal="left"/>
    </xf>
    <xf numFmtId="0" fontId="4" fillId="0" borderId="0" xfId="0" applyFont="1"/>
    <xf numFmtId="0" fontId="6" fillId="2" borderId="0" xfId="0" applyFont="1" applyFill="1"/>
    <xf numFmtId="0" fontId="0" fillId="3" borderId="0" xfId="0" applyFill="1"/>
    <xf numFmtId="164" fontId="1" fillId="3" borderId="0" xfId="1" applyNumberFormat="1" applyFont="1" applyFill="1"/>
    <xf numFmtId="0" fontId="1" fillId="3" borderId="0" xfId="0" applyFont="1" applyFill="1"/>
    <xf numFmtId="0" fontId="5" fillId="4" borderId="0" xfId="0" applyFont="1" applyFill="1"/>
    <xf numFmtId="165" fontId="1" fillId="3" borderId="0" xfId="0" applyNumberFormat="1" applyFont="1" applyFill="1"/>
    <xf numFmtId="9" fontId="0" fillId="0" borderId="0" xfId="1" applyFont="1"/>
    <xf numFmtId="166" fontId="0" fillId="0" borderId="0" xfId="1" applyNumberFormat="1" applyFont="1"/>
    <xf numFmtId="9" fontId="1" fillId="0" borderId="0" xfId="1" applyFont="1"/>
    <xf numFmtId="0" fontId="1" fillId="0" borderId="2" xfId="0" applyFont="1" applyBorder="1" applyAlignment="1">
      <alignment horizontal="center" vertical="top"/>
    </xf>
    <xf numFmtId="0" fontId="1" fillId="0" borderId="1" xfId="0" applyFont="1" applyBorder="1" applyAlignment="1">
      <alignment horizontal="center" vertical="top"/>
    </xf>
    <xf numFmtId="0" fontId="1" fillId="5" borderId="0" xfId="0" applyFont="1" applyFill="1"/>
    <xf numFmtId="0" fontId="1" fillId="6" borderId="3" xfId="0" applyFont="1" applyFill="1" applyBorder="1" applyAlignment="1">
      <alignment horizontal="left" vertical="top"/>
    </xf>
    <xf numFmtId="0" fontId="1" fillId="6" borderId="0" xfId="0" applyFont="1" applyFill="1" applyAlignment="1">
      <alignment horizontal="left" vertical="center"/>
    </xf>
    <xf numFmtId="0" fontId="1" fillId="7" borderId="1" xfId="0" applyFont="1" applyFill="1" applyBorder="1"/>
    <xf numFmtId="0" fontId="1" fillId="5" borderId="0" xfId="0" applyFont="1" applyFill="1" applyAlignment="1">
      <alignment horizontal="center"/>
    </xf>
    <xf numFmtId="0" fontId="0" fillId="0" borderId="1" xfId="0" applyBorder="1" applyAlignment="1">
      <alignment horizontal="center"/>
    </xf>
    <xf numFmtId="0" fontId="1" fillId="8" borderId="1" xfId="0" applyFont="1" applyFill="1" applyBorder="1" applyAlignment="1">
      <alignment wrapText="1"/>
    </xf>
    <xf numFmtId="0" fontId="1" fillId="8" borderId="1" xfId="0" applyFont="1" applyFill="1" applyBorder="1" applyAlignment="1">
      <alignment horizontal="center" vertical="top" wrapText="1"/>
    </xf>
    <xf numFmtId="0" fontId="0" fillId="0" borderId="1" xfId="0" applyBorder="1" applyAlignment="1">
      <alignment vertical="center" wrapText="1"/>
    </xf>
    <xf numFmtId="4" fontId="0" fillId="0" borderId="1" xfId="0" applyNumberFormat="1" applyBorder="1" applyAlignment="1">
      <alignment vertical="center" wrapText="1"/>
    </xf>
    <xf numFmtId="0" fontId="0" fillId="0" borderId="0" xfId="0" applyAlignment="1">
      <alignment wrapText="1"/>
    </xf>
  </cellXfs>
  <cellStyles count="2">
    <cellStyle name="Normal" xfId="0" builtinId="0"/>
    <cellStyle name="Percent" xfId="1" builtinId="5"/>
  </cellStyles>
  <dxfs count="9">
    <dxf>
      <font>
        <color rgb="FF006100"/>
      </font>
      <fill>
        <patternFill>
          <bgColor rgb="FFC6EFCE"/>
        </patternFill>
      </fill>
    </dxf>
    <dxf>
      <fill>
        <patternFill>
          <bgColor theme="9"/>
        </patternFill>
      </fill>
    </dxf>
    <dxf>
      <fill>
        <patternFill>
          <bgColor rgb="FFFF0000"/>
        </patternFill>
      </fill>
    </dxf>
    <dxf>
      <numFmt numFmtId="0" formatCode="General"/>
    </dxf>
    <dxf>
      <numFmt numFmtId="4" formatCode="#,##0.00"/>
    </dxf>
    <dxf>
      <numFmt numFmtId="0" formatCode="General"/>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0" normalizeH="0" baseline="0">
                <a:solidFill>
                  <a:schemeClr val="tx1">
                    <a:lumMod val="65000"/>
                    <a:lumOff val="35000"/>
                  </a:schemeClr>
                </a:solidFill>
                <a:latin typeface="+mj-lt"/>
                <a:ea typeface="+mj-ea"/>
                <a:cs typeface="+mj-cs"/>
              </a:defRPr>
            </a:pPr>
            <a:r>
              <a:rPr lang="en-IN" sz="1400" b="1"/>
              <a:t>Top 10 Crypto Coins (0–5$ Price Range)</a:t>
            </a:r>
          </a:p>
        </c:rich>
      </c:tx>
      <c:layout>
        <c:manualLayout>
          <c:xMode val="edge"/>
          <c:yMode val="edge"/>
          <c:x val="0.29828120783967432"/>
          <c:y val="0"/>
        </c:manualLayout>
      </c:layout>
      <c:overlay val="0"/>
      <c:spPr>
        <a:noFill/>
        <a:ln>
          <a:noFill/>
        </a:ln>
        <a:effectLst/>
      </c:spPr>
      <c:txPr>
        <a:bodyPr rot="0" spcFirstLastPara="1" vertOverflow="ellipsis" vert="horz" wrap="square" anchor="ctr" anchorCtr="1"/>
        <a:lstStyle/>
        <a:p>
          <a:pPr>
            <a:defRPr sz="1400" b="0" i="0" u="none" strike="noStrike" kern="1200" cap="none" spc="0" normalizeH="0" baseline="0">
              <a:solidFill>
                <a:schemeClr val="tx1">
                  <a:lumMod val="65000"/>
                  <a:lumOff val="35000"/>
                </a:schemeClr>
              </a:solidFill>
              <a:latin typeface="+mj-lt"/>
              <a:ea typeface="+mj-ea"/>
              <a:cs typeface="+mj-cs"/>
            </a:defRPr>
          </a:pPr>
          <a:endParaRPr lang="en-US"/>
        </a:p>
      </c:txPr>
    </c:title>
    <c:autoTitleDeleted val="0"/>
    <c:plotArea>
      <c:layout>
        <c:manualLayout>
          <c:layoutTarget val="inner"/>
          <c:xMode val="edge"/>
          <c:yMode val="edge"/>
          <c:x val="0.1478031496062992"/>
          <c:y val="0.15319444444444447"/>
          <c:w val="0.85219685039370074"/>
          <c:h val="2.7777777777777776E-2"/>
        </c:manualLayout>
      </c:layout>
      <c:barChart>
        <c:barDir val="col"/>
        <c:grouping val="clustered"/>
        <c:varyColors val="0"/>
        <c:ser>
          <c:idx val="0"/>
          <c:order val="0"/>
          <c:tx>
            <c:strRef>
              <c:f>'Analysis + Chart (Task 2)'!$F$1</c:f>
              <c:strCache>
                <c:ptCount val="1"/>
                <c:pt idx="0">
                  <c:v>% Change 7d</c:v>
                </c:pt>
              </c:strCache>
            </c:strRef>
          </c:tx>
          <c:spPr>
            <a:solidFill>
              <a:schemeClr val="accent1"/>
            </a:solidFill>
            <a:ln>
              <a:noFill/>
            </a:ln>
            <a:effectLst/>
          </c:spPr>
          <c:invertIfNegative val="0"/>
          <c:cat>
            <c:strRef>
              <c:f>'Analysis + Chart (Task 2)'!$A$8:$A$18</c:f>
              <c:strCache>
                <c:ptCount val="11"/>
                <c:pt idx="0">
                  <c:v>FNCY</c:v>
                </c:pt>
                <c:pt idx="1">
                  <c:v>Rebel Cars</c:v>
                </c:pt>
                <c:pt idx="2">
                  <c:v>Falcon USD</c:v>
                </c:pt>
                <c:pt idx="3">
                  <c:v>Loaded Lions</c:v>
                </c:pt>
                <c:pt idx="4">
                  <c:v>OctaSpace</c:v>
                </c:pt>
                <c:pt idx="5">
                  <c:v>Koma Inu</c:v>
                </c:pt>
                <c:pt idx="6">
                  <c:v>Usual USD</c:v>
                </c:pt>
                <c:pt idx="7">
                  <c:v>Kujira</c:v>
                </c:pt>
                <c:pt idx="8">
                  <c:v>Tron Bull</c:v>
                </c:pt>
                <c:pt idx="9">
                  <c:v>COTI</c:v>
                </c:pt>
                <c:pt idx="10">
                  <c:v>TOWER</c:v>
                </c:pt>
              </c:strCache>
            </c:strRef>
          </c:cat>
          <c:val>
            <c:numRef>
              <c:f>'Analysis + Chart (Task 2)'!$F$8:$F$16</c:f>
              <c:numCache>
                <c:formatCode>General</c:formatCode>
                <c:ptCount val="9"/>
                <c:pt idx="0">
                  <c:v>-9.0181092592083317E-2</c:v>
                </c:pt>
                <c:pt idx="1">
                  <c:v>-4.5114006404456564E-2</c:v>
                </c:pt>
                <c:pt idx="2">
                  <c:v>-5.7167311269786449E-2</c:v>
                </c:pt>
                <c:pt idx="3">
                  <c:v>2.7643220377005479E-2</c:v>
                </c:pt>
                <c:pt idx="4">
                  <c:v>2.1369066160964397E-2</c:v>
                </c:pt>
                <c:pt idx="5">
                  <c:v>1.1500456345519574E-2</c:v>
                </c:pt>
                <c:pt idx="6">
                  <c:v>-4.5757906801996838E-2</c:v>
                </c:pt>
                <c:pt idx="7">
                  <c:v>-6.1633368683928824E-2</c:v>
                </c:pt>
                <c:pt idx="8">
                  <c:v>5.1465601246951785E-2</c:v>
                </c:pt>
              </c:numCache>
            </c:numRef>
          </c:val>
          <c:extLst>
            <c:ext xmlns:c16="http://schemas.microsoft.com/office/drawing/2014/chart" uri="{C3380CC4-5D6E-409C-BE32-E72D297353CC}">
              <c16:uniqueId val="{00000000-AB2B-49CC-A6A7-3A1350100B66}"/>
            </c:ext>
          </c:extLst>
        </c:ser>
        <c:ser>
          <c:idx val="1"/>
          <c:order val="1"/>
          <c:tx>
            <c:strRef>
              <c:f>'Analysis + Chart (Task 2)'!$E$1</c:f>
              <c:strCache>
                <c:ptCount val="1"/>
                <c:pt idx="0">
                  <c:v>% Change 24h</c:v>
                </c:pt>
              </c:strCache>
            </c:strRef>
          </c:tx>
          <c:spPr>
            <a:solidFill>
              <a:schemeClr val="accent2"/>
            </a:solidFill>
            <a:ln>
              <a:noFill/>
            </a:ln>
            <a:effectLst/>
          </c:spPr>
          <c:invertIfNegative val="0"/>
          <c:cat>
            <c:strRef>
              <c:f>'Analysis + Chart (Task 2)'!$A$8:$A$18</c:f>
              <c:strCache>
                <c:ptCount val="11"/>
                <c:pt idx="0">
                  <c:v>FNCY</c:v>
                </c:pt>
                <c:pt idx="1">
                  <c:v>Rebel Cars</c:v>
                </c:pt>
                <c:pt idx="2">
                  <c:v>Falcon USD</c:v>
                </c:pt>
                <c:pt idx="3">
                  <c:v>Loaded Lions</c:v>
                </c:pt>
                <c:pt idx="4">
                  <c:v>OctaSpace</c:v>
                </c:pt>
                <c:pt idx="5">
                  <c:v>Koma Inu</c:v>
                </c:pt>
                <c:pt idx="6">
                  <c:v>Usual USD</c:v>
                </c:pt>
                <c:pt idx="7">
                  <c:v>Kujira</c:v>
                </c:pt>
                <c:pt idx="8">
                  <c:v>Tron Bull</c:v>
                </c:pt>
                <c:pt idx="9">
                  <c:v>COTI</c:v>
                </c:pt>
                <c:pt idx="10">
                  <c:v>TOWER</c:v>
                </c:pt>
              </c:strCache>
            </c:strRef>
          </c:cat>
          <c:val>
            <c:numRef>
              <c:f>'Analysis + Chart (Task 2)'!$E$8:$E$16</c:f>
              <c:numCache>
                <c:formatCode>General</c:formatCode>
                <c:ptCount val="9"/>
                <c:pt idx="0">
                  <c:v>-3.618267995676573E-3</c:v>
                </c:pt>
                <c:pt idx="1">
                  <c:v>3.8572170589668976E-2</c:v>
                </c:pt>
                <c:pt idx="2">
                  <c:v>4.5578521541152824E-3</c:v>
                </c:pt>
                <c:pt idx="3">
                  <c:v>4.4432464598323548E-2</c:v>
                </c:pt>
                <c:pt idx="4">
                  <c:v>2.903643291586286E-3</c:v>
                </c:pt>
                <c:pt idx="5">
                  <c:v>5.1452081261176223E-2</c:v>
                </c:pt>
                <c:pt idx="6">
                  <c:v>-2.8932070590140978E-2</c:v>
                </c:pt>
                <c:pt idx="7">
                  <c:v>1.9439449237810442E-3</c:v>
                </c:pt>
                <c:pt idx="8">
                  <c:v>2.3338407474551383E-2</c:v>
                </c:pt>
              </c:numCache>
            </c:numRef>
          </c:val>
          <c:extLst>
            <c:ext xmlns:c16="http://schemas.microsoft.com/office/drawing/2014/chart" uri="{C3380CC4-5D6E-409C-BE32-E72D297353CC}">
              <c16:uniqueId val="{00000001-AB2B-49CC-A6A7-3A1350100B66}"/>
            </c:ext>
          </c:extLst>
        </c:ser>
        <c:dLbls>
          <c:showLegendKey val="0"/>
          <c:showVal val="0"/>
          <c:showCatName val="0"/>
          <c:showSerName val="0"/>
          <c:showPercent val="0"/>
          <c:showBubbleSize val="0"/>
        </c:dLbls>
        <c:gapWidth val="199"/>
        <c:axId val="1866407551"/>
        <c:axId val="1866406719"/>
      </c:barChart>
      <c:catAx>
        <c:axId val="18664075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1866406719"/>
        <c:crosses val="autoZero"/>
        <c:auto val="1"/>
        <c:lblAlgn val="ctr"/>
        <c:lblOffset val="100"/>
        <c:noMultiLvlLbl val="0"/>
      </c:catAx>
      <c:valAx>
        <c:axId val="1866406719"/>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6407551"/>
        <c:crosses val="autoZero"/>
        <c:crossBetween val="between"/>
      </c:valAx>
      <c:spPr>
        <a:noFill/>
        <a:ln>
          <a:noFill/>
        </a:ln>
        <a:effectLst/>
      </c:spPr>
    </c:plotArea>
    <c:legend>
      <c:legendPos val="t"/>
      <c:layout>
        <c:manualLayout>
          <c:xMode val="edge"/>
          <c:yMode val="edge"/>
          <c:x val="0.32365244151477451"/>
          <c:y val="0.68255769752918816"/>
          <c:w val="0.33027977154161126"/>
          <c:h val="5.869606299212599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Top 10 Coins % Price Change (1h)</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'Price Change Analysis (Task 3)'!$A$2:$A$11</c:f>
              <c:strCache>
                <c:ptCount val="7"/>
                <c:pt idx="0">
                  <c:v>Bitcoin</c:v>
                </c:pt>
                <c:pt idx="1">
                  <c:v>Ethereum</c:v>
                </c:pt>
                <c:pt idx="2">
                  <c:v>DeFi Pulse Index</c:v>
                </c:pt>
                <c:pt idx="3">
                  <c:v>Solana</c:v>
                </c:pt>
                <c:pt idx="4">
                  <c:v>BNB</c:v>
                </c:pt>
                <c:pt idx="5">
                  <c:v>Beefy</c:v>
                </c:pt>
                <c:pt idx="6">
                  <c:v>Comtech Gold</c:v>
                </c:pt>
              </c:strCache>
            </c:strRef>
          </c:cat>
          <c:val>
            <c:numRef>
              <c:f>'Price Change Analysis (Task 3)'!$L$2:$L$11</c:f>
              <c:numCache>
                <c:formatCode>0%</c:formatCode>
                <c:ptCount val="7"/>
                <c:pt idx="0">
                  <c:v>2.3999999999999998E-3</c:v>
                </c:pt>
                <c:pt idx="1">
                  <c:v>7.6E-3</c:v>
                </c:pt>
                <c:pt idx="2">
                  <c:v>2.8199999999999999E-2</c:v>
                </c:pt>
                <c:pt idx="3">
                  <c:v>9.9000000000000008E-3</c:v>
                </c:pt>
                <c:pt idx="4">
                  <c:v>1E-3</c:v>
                </c:pt>
                <c:pt idx="5">
                  <c:v>1.6000000000000001E-3</c:v>
                </c:pt>
                <c:pt idx="6">
                  <c:v>5.9999999999999995E-4</c:v>
                </c:pt>
              </c:numCache>
            </c:numRef>
          </c:val>
          <c:extLst>
            <c:ext xmlns:c16="http://schemas.microsoft.com/office/drawing/2014/chart" uri="{C3380CC4-5D6E-409C-BE32-E72D297353CC}">
              <c16:uniqueId val="{00000000-3B2A-46B0-AD18-33FE319BE520}"/>
            </c:ext>
          </c:extLst>
        </c:ser>
        <c:dLbls>
          <c:dLblPos val="outEnd"/>
          <c:showLegendKey val="0"/>
          <c:showVal val="1"/>
          <c:showCatName val="0"/>
          <c:showSerName val="0"/>
          <c:showPercent val="0"/>
          <c:showBubbleSize val="0"/>
        </c:dLbls>
        <c:gapWidth val="219"/>
        <c:overlap val="-27"/>
        <c:axId val="112555135"/>
        <c:axId val="112555967"/>
      </c:barChart>
      <c:catAx>
        <c:axId val="1125551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555967"/>
        <c:crosses val="autoZero"/>
        <c:auto val="1"/>
        <c:lblAlgn val="ctr"/>
        <c:lblOffset val="100"/>
        <c:noMultiLvlLbl val="0"/>
      </c:catAx>
      <c:valAx>
        <c:axId val="112555967"/>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5551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Top 10 Coins by Liquidity (24h Volume)</a:t>
            </a:r>
            <a:endParaRPr lang="en-IN"/>
          </a:p>
        </c:rich>
      </c:tx>
      <c:layout>
        <c:manualLayout>
          <c:xMode val="edge"/>
          <c:yMode val="edge"/>
          <c:x val="0.17187510936132983"/>
          <c:y val="2.31481481481481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'Liquidity Analysis (Task 4)'!$A$2:$A$27</c:f>
              <c:strCache>
                <c:ptCount val="10"/>
                <c:pt idx="0">
                  <c:v>Efinity Token</c:v>
                </c:pt>
                <c:pt idx="1">
                  <c:v>DeHub</c:v>
                </c:pt>
                <c:pt idx="2">
                  <c:v>Bitcoin</c:v>
                </c:pt>
                <c:pt idx="3">
                  <c:v>Ethereum</c:v>
                </c:pt>
                <c:pt idx="4">
                  <c:v>USDC</c:v>
                </c:pt>
                <c:pt idx="5">
                  <c:v>BNB</c:v>
                </c:pt>
                <c:pt idx="6">
                  <c:v>Dogecoin</c:v>
                </c:pt>
                <c:pt idx="7">
                  <c:v>Cardano</c:v>
                </c:pt>
                <c:pt idx="8">
                  <c:v>Orbiter Finance</c:v>
                </c:pt>
                <c:pt idx="9">
                  <c:v>Usual</c:v>
                </c:pt>
              </c:strCache>
            </c:strRef>
          </c:cat>
          <c:val>
            <c:numRef>
              <c:f>'Liquidity Analysis (Task 4)'!$G$2:$G$27</c:f>
              <c:numCache>
                <c:formatCode>General</c:formatCode>
                <c:ptCount val="10"/>
                <c:pt idx="0">
                  <c:v>0</c:v>
                </c:pt>
                <c:pt idx="1">
                  <c:v>0</c:v>
                </c:pt>
                <c:pt idx="2">
                  <c:v>43170391288</c:v>
                </c:pt>
                <c:pt idx="3">
                  <c:v>14942260356</c:v>
                </c:pt>
                <c:pt idx="4">
                  <c:v>8208315257</c:v>
                </c:pt>
                <c:pt idx="5">
                  <c:v>1497928447</c:v>
                </c:pt>
                <c:pt idx="6">
                  <c:v>781433558</c:v>
                </c:pt>
                <c:pt idx="7">
                  <c:v>539447597</c:v>
                </c:pt>
                <c:pt idx="8">
                  <c:v>40860347</c:v>
                </c:pt>
                <c:pt idx="9">
                  <c:v>25758134</c:v>
                </c:pt>
              </c:numCache>
            </c:numRef>
          </c:val>
          <c:extLst>
            <c:ext xmlns:c16="http://schemas.microsoft.com/office/drawing/2014/chart" uri="{C3380CC4-5D6E-409C-BE32-E72D297353CC}">
              <c16:uniqueId val="{00000000-4DC5-4051-891E-CDB484E9532A}"/>
            </c:ext>
          </c:extLst>
        </c:ser>
        <c:dLbls>
          <c:showLegendKey val="0"/>
          <c:showVal val="0"/>
          <c:showCatName val="0"/>
          <c:showSerName val="0"/>
          <c:showPercent val="0"/>
          <c:showBubbleSize val="0"/>
        </c:dLbls>
        <c:gapWidth val="219"/>
        <c:overlap val="-27"/>
        <c:axId val="183116319"/>
        <c:axId val="212721535"/>
      </c:barChart>
      <c:catAx>
        <c:axId val="1831163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721535"/>
        <c:crosses val="autoZero"/>
        <c:auto val="1"/>
        <c:lblAlgn val="ctr"/>
        <c:lblOffset val="100"/>
        <c:noMultiLvlLbl val="0"/>
      </c:catAx>
      <c:valAx>
        <c:axId val="2127215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1163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sz="1800" b="1" i="0" u="none" strike="noStrike" baseline="0"/>
              <a:t>Top 5 Crypto Coins by 24h Volume</a:t>
            </a:r>
            <a:endParaRPr lang="en-US"/>
          </a:p>
        </c:rich>
      </c:tx>
      <c:overlay val="0"/>
      <c:spPr>
        <a:solidFill>
          <a:schemeClr val="accent6">
            <a:lumMod val="60000"/>
            <a:lumOff val="40000"/>
          </a:schemeClr>
        </a:solid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0"/>
          <c:order val="0"/>
          <c:tx>
            <c:strRef>
              <c:f>'Liquidity Pie (Task 6)'!$H$1</c:f>
              <c:strCache>
                <c:ptCount val="1"/>
                <c:pt idx="0">
                  <c:v>Volume Numeric</c:v>
                </c:pt>
              </c:strCache>
            </c:strRef>
          </c:tx>
          <c:explosion val="2"/>
          <c:dPt>
            <c:idx val="0"/>
            <c:bubble3D val="0"/>
            <c:spPr>
              <a:solidFill>
                <a:schemeClr val="accent1">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24C6-4D41-9343-3F31CC25B5C2}"/>
              </c:ext>
            </c:extLst>
          </c:dPt>
          <c:dPt>
            <c:idx val="1"/>
            <c:bubble3D val="0"/>
            <c:spPr>
              <a:solidFill>
                <a:schemeClr val="accent2">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24C6-4D41-9343-3F31CC25B5C2}"/>
              </c:ext>
            </c:extLst>
          </c:dPt>
          <c:dPt>
            <c:idx val="2"/>
            <c:bubble3D val="0"/>
            <c:spPr>
              <a:solidFill>
                <a:schemeClr val="accent4">
                  <a:lumMod val="40000"/>
                  <a:lumOff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24C6-4D41-9343-3F31CC25B5C2}"/>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24C6-4D41-9343-3F31CC25B5C2}"/>
              </c:ext>
            </c:extLst>
          </c:dPt>
          <c:dPt>
            <c:idx val="4"/>
            <c:bubble3D val="0"/>
            <c:spPr>
              <a:solidFill>
                <a:schemeClr val="accent6">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24C6-4D41-9343-3F31CC25B5C2}"/>
              </c:ext>
            </c:extLst>
          </c:dPt>
          <c:dPt>
            <c:idx val="5"/>
            <c:bubble3D val="0"/>
            <c:spPr>
              <a:solidFill>
                <a:schemeClr val="bg1">
                  <a:lumMod val="65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24C6-4D41-9343-3F31CC25B5C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s>
          <c:cat>
            <c:strRef>
              <c:f>'Liquidity Pie (Task 6)'!$G$2:$G$7</c:f>
              <c:strCache>
                <c:ptCount val="6"/>
                <c:pt idx="0">
                  <c:v>Tether</c:v>
                </c:pt>
                <c:pt idx="1">
                  <c:v>Bitcoin</c:v>
                </c:pt>
                <c:pt idx="2">
                  <c:v>Ethereum</c:v>
                </c:pt>
                <c:pt idx="3">
                  <c:v>XRP</c:v>
                </c:pt>
                <c:pt idx="4">
                  <c:v>Solana</c:v>
                </c:pt>
                <c:pt idx="5">
                  <c:v>Others</c:v>
                </c:pt>
              </c:strCache>
            </c:strRef>
          </c:cat>
          <c:val>
            <c:numRef>
              <c:f>'Liquidity Pie (Task 6)'!$H$2:$H$7</c:f>
              <c:numCache>
                <c:formatCode>General</c:formatCode>
                <c:ptCount val="6"/>
                <c:pt idx="0">
                  <c:v>60772601456</c:v>
                </c:pt>
                <c:pt idx="1">
                  <c:v>43170391288</c:v>
                </c:pt>
                <c:pt idx="2">
                  <c:v>14942260356</c:v>
                </c:pt>
                <c:pt idx="3">
                  <c:v>2046333328</c:v>
                </c:pt>
                <c:pt idx="4">
                  <c:v>2904341748</c:v>
                </c:pt>
                <c:pt idx="5">
                  <c:v>136428428057</c:v>
                </c:pt>
              </c:numCache>
            </c:numRef>
          </c:val>
          <c:extLst>
            <c:ext xmlns:c16="http://schemas.microsoft.com/office/drawing/2014/chart" uri="{C3380CC4-5D6E-409C-BE32-E72D297353CC}">
              <c16:uniqueId val="{00000000-A334-405A-A7F5-8E5B531C7862}"/>
            </c:ext>
          </c:extLst>
        </c:ser>
        <c:dLbls>
          <c:showLegendKey val="0"/>
          <c:showVal val="0"/>
          <c:showCatName val="0"/>
          <c:showSerName val="0"/>
          <c:showPercent val="0"/>
          <c:showBubbleSize val="0"/>
          <c:showLeaderLines val="0"/>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3</xdr:col>
      <xdr:colOff>38100</xdr:colOff>
      <xdr:row>0</xdr:row>
      <xdr:rowOff>0</xdr:rowOff>
    </xdr:from>
    <xdr:to>
      <xdr:col>5</xdr:col>
      <xdr:colOff>590550</xdr:colOff>
      <xdr:row>9</xdr:row>
      <xdr:rowOff>38100</xdr:rowOff>
    </xdr:to>
    <mc:AlternateContent xmlns:mc="http://schemas.openxmlformats.org/markup-compatibility/2006" xmlns:a14="http://schemas.microsoft.com/office/drawing/2010/main">
      <mc:Choice Requires="a14">
        <xdr:graphicFrame macro="">
          <xdr:nvGraphicFramePr>
            <xdr:cNvPr id="2" name="Price Range">
              <a:extLst>
                <a:ext uri="{FF2B5EF4-FFF2-40B4-BE49-F238E27FC236}">
                  <a16:creationId xmlns:a16="http://schemas.microsoft.com/office/drawing/2014/main" id="{F5B3C9AA-1023-41F7-8AED-EC75C630B8A3}"/>
                </a:ext>
              </a:extLst>
            </xdr:cNvPr>
            <xdr:cNvGraphicFramePr/>
          </xdr:nvGraphicFramePr>
          <xdr:xfrm>
            <a:off x="0" y="0"/>
            <a:ext cx="0" cy="0"/>
          </xdr:xfrm>
          <a:graphic>
            <a:graphicData uri="http://schemas.microsoft.com/office/drawing/2010/slicer">
              <sle:slicer xmlns:sle="http://schemas.microsoft.com/office/drawing/2010/slicer" name="Price Range"/>
            </a:graphicData>
          </a:graphic>
        </xdr:graphicFrame>
      </mc:Choice>
      <mc:Fallback xmlns="">
        <xdr:sp macro="" textlink="">
          <xdr:nvSpPr>
            <xdr:cNvPr id="0" name=""/>
            <xdr:cNvSpPr>
              <a:spLocks noTextEdit="1"/>
            </xdr:cNvSpPr>
          </xdr:nvSpPr>
          <xdr:spPr>
            <a:xfrm>
              <a:off x="5886450" y="0"/>
              <a:ext cx="1771650" cy="1778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19050</xdr:colOff>
      <xdr:row>0</xdr:row>
      <xdr:rowOff>228600</xdr:rowOff>
    </xdr:from>
    <xdr:to>
      <xdr:col>8</xdr:col>
      <xdr:colOff>0</xdr:colOff>
      <xdr:row>2</xdr:row>
      <xdr:rowOff>19050</xdr:rowOff>
    </xdr:to>
    <xdr:sp macro="" textlink="">
      <xdr:nvSpPr>
        <xdr:cNvPr id="9" name="Rectangle 8">
          <a:extLst>
            <a:ext uri="{FF2B5EF4-FFF2-40B4-BE49-F238E27FC236}">
              <a16:creationId xmlns:a16="http://schemas.microsoft.com/office/drawing/2014/main" id="{573C3EFC-2943-4417-B4E0-0A87BB7A65EE}"/>
            </a:ext>
          </a:extLst>
        </xdr:cNvPr>
        <xdr:cNvSpPr/>
      </xdr:nvSpPr>
      <xdr:spPr>
        <a:xfrm>
          <a:off x="7696200" y="228600"/>
          <a:ext cx="1657350" cy="241300"/>
        </a:xfrm>
        <a:prstGeom prst="rect">
          <a:avLst/>
        </a:prstGeom>
      </xdr:spPr>
      <xdr:style>
        <a:lnRef idx="3">
          <a:schemeClr val="lt1"/>
        </a:lnRef>
        <a:fillRef idx="1">
          <a:schemeClr val="accent2"/>
        </a:fillRef>
        <a:effectRef idx="1">
          <a:schemeClr val="accent2"/>
        </a:effectRef>
        <a:fontRef idx="minor">
          <a:schemeClr val="lt1"/>
        </a:fontRef>
      </xdr:style>
      <xdr:txBody>
        <a:bodyPr vertOverflow="clip" horzOverflow="clip" rtlCol="0" anchor="t"/>
        <a:lstStyle/>
        <a:p>
          <a:pPr algn="l"/>
          <a:r>
            <a:rPr lang="en-IN" sz="1100"/>
            <a:t>            </a:t>
          </a:r>
          <a:r>
            <a:rPr lang="en-IN" sz="1100" baseline="0"/>
            <a:t> </a:t>
          </a:r>
          <a:r>
            <a:rPr lang="en-IN" sz="1100"/>
            <a:t>KPI BLOCK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184150</xdr:colOff>
      <xdr:row>7</xdr:row>
      <xdr:rowOff>120650</xdr:rowOff>
    </xdr:from>
    <xdr:to>
      <xdr:col>18</xdr:col>
      <xdr:colOff>381000</xdr:colOff>
      <xdr:row>16</xdr:row>
      <xdr:rowOff>38100</xdr:rowOff>
    </xdr:to>
    <xdr:graphicFrame macro="">
      <xdr:nvGraphicFramePr>
        <xdr:cNvPr id="2" name="Chart 1">
          <a:extLst>
            <a:ext uri="{FF2B5EF4-FFF2-40B4-BE49-F238E27FC236}">
              <a16:creationId xmlns:a16="http://schemas.microsoft.com/office/drawing/2014/main" id="{108FEDA4-BB9D-45A1-85AB-E198A32B7A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12</xdr:col>
      <xdr:colOff>434975</xdr:colOff>
      <xdr:row>0</xdr:row>
      <xdr:rowOff>0</xdr:rowOff>
    </xdr:from>
    <xdr:to>
      <xdr:col>20</xdr:col>
      <xdr:colOff>130175</xdr:colOff>
      <xdr:row>14</xdr:row>
      <xdr:rowOff>165100</xdr:rowOff>
    </xdr:to>
    <xdr:graphicFrame macro="">
      <xdr:nvGraphicFramePr>
        <xdr:cNvPr id="9" name="Chart 8">
          <a:extLst>
            <a:ext uri="{FF2B5EF4-FFF2-40B4-BE49-F238E27FC236}">
              <a16:creationId xmlns:a16="http://schemas.microsoft.com/office/drawing/2014/main" id="{6ED6B53F-C63C-4210-BAC5-585346B256F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13</xdr:col>
      <xdr:colOff>234950</xdr:colOff>
      <xdr:row>201</xdr:row>
      <xdr:rowOff>152401</xdr:rowOff>
    </xdr:from>
    <xdr:to>
      <xdr:col>17</xdr:col>
      <xdr:colOff>184150</xdr:colOff>
      <xdr:row>209</xdr:row>
      <xdr:rowOff>12700</xdr:rowOff>
    </xdr:to>
    <mc:AlternateContent xmlns:mc="http://schemas.openxmlformats.org/markup-compatibility/2006">
      <mc:Choice xmlns:sle15="http://schemas.microsoft.com/office/drawing/2012/slicer" Requires="sle15">
        <xdr:graphicFrame macro="">
          <xdr:nvGraphicFramePr>
            <xdr:cNvPr id="11" name="Price Category">
              <a:extLst>
                <a:ext uri="{FF2B5EF4-FFF2-40B4-BE49-F238E27FC236}">
                  <a16:creationId xmlns:a16="http://schemas.microsoft.com/office/drawing/2014/main" id="{005EC066-447B-43EE-9273-CA336B98B63D}"/>
                </a:ext>
              </a:extLst>
            </xdr:cNvPr>
            <xdr:cNvGraphicFramePr/>
          </xdr:nvGraphicFramePr>
          <xdr:xfrm>
            <a:off x="0" y="0"/>
            <a:ext cx="0" cy="0"/>
          </xdr:xfrm>
          <a:graphic>
            <a:graphicData uri="http://schemas.microsoft.com/office/drawing/2010/slicer">
              <sle:slicer xmlns:sle="http://schemas.microsoft.com/office/drawing/2010/slicer" name="Price Category"/>
            </a:graphicData>
          </a:graphic>
        </xdr:graphicFrame>
      </mc:Choice>
      <mc:Fallback>
        <xdr:sp macro="" textlink="">
          <xdr:nvSpPr>
            <xdr:cNvPr id="0" name=""/>
            <xdr:cNvSpPr>
              <a:spLocks noTextEdit="1"/>
            </xdr:cNvSpPr>
          </xdr:nvSpPr>
          <xdr:spPr>
            <a:xfrm>
              <a:off x="10337800" y="1625601"/>
              <a:ext cx="2387600" cy="1333499"/>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7</xdr:col>
      <xdr:colOff>288925</xdr:colOff>
      <xdr:row>1</xdr:row>
      <xdr:rowOff>31750</xdr:rowOff>
    </xdr:from>
    <xdr:to>
      <xdr:col>14</xdr:col>
      <xdr:colOff>593725</xdr:colOff>
      <xdr:row>45</xdr:row>
      <xdr:rowOff>12700</xdr:rowOff>
    </xdr:to>
    <xdr:graphicFrame macro="">
      <xdr:nvGraphicFramePr>
        <xdr:cNvPr id="3" name="Chart 2" hidden="1">
          <a:extLst>
            <a:ext uri="{FF2B5EF4-FFF2-40B4-BE49-F238E27FC236}">
              <a16:creationId xmlns:a16="http://schemas.microsoft.com/office/drawing/2014/main" id="{92481FDE-A587-40AD-9F0E-ADC019AF65C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133349</xdr:colOff>
      <xdr:row>0</xdr:row>
      <xdr:rowOff>57150</xdr:rowOff>
    </xdr:from>
    <xdr:to>
      <xdr:col>15</xdr:col>
      <xdr:colOff>508000</xdr:colOff>
      <xdr:row>16</xdr:row>
      <xdr:rowOff>44450</xdr:rowOff>
    </xdr:to>
    <xdr:graphicFrame macro="">
      <xdr:nvGraphicFramePr>
        <xdr:cNvPr id="5" name="Chart 4">
          <a:extLst>
            <a:ext uri="{FF2B5EF4-FFF2-40B4-BE49-F238E27FC236}">
              <a16:creationId xmlns:a16="http://schemas.microsoft.com/office/drawing/2014/main" id="{09AA286E-BB91-40D5-959C-5712B4A1829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BHI.." refreshedDate="46113.976956134262" createdVersion="7" refreshedVersion="7" minRefreshableVersion="3" recordCount="200" xr:uid="{57C78034-D4CA-45AE-B10C-30C489C13FF0}">
  <cacheSource type="worksheet">
    <worksheetSource name="Table2"/>
  </cacheSource>
  <cacheFields count="8">
    <cacheField name="Coin Name" numFmtId="0">
      <sharedItems count="200">
        <s v="Bitcoin"/>
        <s v="Ethereum"/>
        <s v="Tether"/>
        <s v="XRP"/>
        <s v="BNB"/>
        <s v="Solana"/>
        <s v="USDC"/>
        <s v="TRON"/>
        <s v="Dogecoin"/>
        <s v="Cardano"/>
        <s v="Pudgy Penguins"/>
        <s v="Walrus"/>
        <s v="Raydium"/>
        <s v="Core"/>
        <s v="Tezos"/>
        <s v="Pyth Network"/>
        <s v="Flow"/>
        <s v="Maple Finance"/>
        <s v="Decentraland"/>
        <s v="TrueUSD"/>
        <s v="Fasttoken"/>
        <s v="Jupiter Perps LP"/>
        <s v="Zeebu"/>
        <s v="Fellaz"/>
        <s v="Usual USD"/>
        <s v="Ondo US Dollar Yield"/>
        <s v="Falcon USD"/>
        <s v="Loaded Lions"/>
        <s v="would"/>
        <s v="WhiteRock"/>
        <s v="Ontology"/>
        <s v="Request"/>
        <s v="Paycoin"/>
        <s v="COTI"/>
        <s v="Gravity (by Galxe)"/>
        <s v="Terra"/>
        <s v="Solar"/>
        <s v="Destra Network"/>
        <s v="World Mobile Token"/>
        <s v="SKALE"/>
        <s v="Usual"/>
        <s v="Arcblock"/>
        <s v="Memecoin"/>
        <s v="MiL.k"/>
        <s v="dKargo"/>
        <s v="AI Companions"/>
        <s v="Degen"/>
        <s v="Aevo"/>
        <s v="Spark"/>
        <s v="Global Commercial Business"/>
        <s v="NEM"/>
        <s v="Humans.ai"/>
        <s v="Oasys"/>
        <s v="Smooth Love Potion"/>
        <s v="Neutron"/>
        <s v="Eurite"/>
        <s v="ANDY (ETH)"/>
        <s v="GameBuild"/>
        <s v="Tornado Cash"/>
        <s v="DeFi Pulse Index"/>
        <s v="Kujira"/>
        <s v="Gains Network"/>
        <s v="AVA (Travala)"/>
        <s v="DEAPcoin"/>
        <s v="The Arena"/>
        <s v="Dohrnii"/>
        <s v="Ampleforth Governance Token"/>
        <s v="Metadium"/>
        <s v="Shentu"/>
        <s v="Nakamoto Games"/>
        <s v="Groestlcoin"/>
        <s v="Sui Name Service"/>
        <s v="Haedal Protocol"/>
        <s v="Fractal Bitcoin"/>
        <s v="PlatON"/>
        <s v="NFPrompt"/>
        <s v="Orbiter Finance"/>
        <s v="Covalent X Token"/>
        <s v="OMG Network"/>
        <s v="Radiant Capital"/>
        <s v="Klever Coin"/>
        <s v="Pups (Bitcoin)"/>
        <s v="NATIX Network"/>
        <s v="ORIGYN"/>
        <s v="Daddy Tate"/>
        <s v="Impossible Finance Launchpad"/>
        <s v="League of Kingdoms Arena"/>
        <s v="Mango"/>
        <s v="DAR Open Network"/>
        <s v="Alaya Governance Token"/>
        <s v="Port3 Network"/>
        <s v="SIX Token"/>
        <s v="Cult DAO"/>
        <s v="crow with knife"/>
        <s v="Cortex"/>
        <s v="Paris Saint-Germain Fan Token"/>
        <s v="Comtech Gold"/>
        <s v="Definitive"/>
        <s v="Contentos"/>
        <s v="Step Finance"/>
        <s v="OctaSpace"/>
        <s v="Aura Finance"/>
        <s v="PIBBLE"/>
        <s v="U2U Network"/>
        <s v="Persistence One"/>
        <s v="TROLL (SOL)"/>
        <s v="WeFi"/>
        <s v="Dora Factory"/>
        <s v="Alon"/>
        <s v="Beefy"/>
        <s v="Karate Combat"/>
        <s v="Efinity Token"/>
        <s v="Nura Labs"/>
        <s v="Nexera"/>
        <s v="Department Of Government Efficiency (dogegov.com)"/>
        <s v="moonpig"/>
        <s v="Aerobud"/>
        <s v="cheqd"/>
        <s v="Koma Inu"/>
        <s v="Pitbull"/>
        <s v="Venus LTC"/>
        <s v="KONET"/>
        <s v="Creta World"/>
        <s v="WazirX"/>
        <s v="Baanx"/>
        <s v="SwarmNode.ai"/>
        <s v="Hathor"/>
        <s v="Venus DAI"/>
        <s v="trac (Ordinals)"/>
        <s v="AirSwap"/>
        <s v="nubcat"/>
        <s v="CrossFi"/>
        <s v="Tron Bull"/>
        <s v="Openfabric AI"/>
        <s v="Electric Vehicle Zone"/>
        <s v="Metahero"/>
        <s v="Inter Milan Fan Token"/>
        <s v="Darkpino"/>
        <s v="Velas"/>
        <s v="Abelian"/>
        <s v="Electra Protocol"/>
        <s v="Kin"/>
        <s v="KiloEx"/>
        <s v="Privasea AI"/>
        <s v="MAD"/>
        <s v="Robonomics.network"/>
        <s v="Alitas"/>
        <s v="Bytecoin"/>
        <s v="Morpheus.Network"/>
        <s v="WELF"/>
        <s v="Cypherium"/>
        <s v="Dingocoin"/>
        <s v="IBStoken"/>
        <s v="AIT Protocol"/>
        <s v="Bitcoin 2"/>
        <s v="OmniFlix Network"/>
        <s v="TRVL (Dtravel)"/>
        <s v="DeBox"/>
        <s v="Akita Inu"/>
        <s v="Hive Intelligence"/>
        <s v="Sentio AI"/>
        <s v="Sylo"/>
        <s v="PornRocket"/>
        <s v="FNCY"/>
        <s v="Hoge Finance"/>
        <s v="Big Data Protocol"/>
        <s v="Byte"/>
        <s v="Universe Boss Coin"/>
        <s v="ADAMANT Messenger"/>
        <s v="CHADETTE"/>
        <s v="NULS"/>
        <s v="Quq"/>
        <s v="RigoBlock"/>
        <s v="LEGIT"/>
        <s v="Super Zero Protocol"/>
        <s v="Letit"/>
        <s v="GoChain"/>
        <s v="BlackCardCoin"/>
        <s v="Habibi"/>
        <s v="Striker League"/>
        <s v="Ctrl Wallet"/>
        <s v="Etherisc DIP Token"/>
        <s v="Rubic"/>
        <s v="BizAuto"/>
        <s v="BIGFACTS"/>
        <s v="Didi Bam Bam"/>
        <s v="Rebel Cars"/>
        <s v="Vulcan Forged (LAVA)"/>
        <s v="DeHub"/>
        <s v="Mubarakah"/>
        <s v="TOWER"/>
        <s v="Octokn"/>
        <s v="StarSlax"/>
        <s v="Ertha"/>
        <s v="SafeCoin"/>
        <s v="Dolos The Bully"/>
        <s v="LanLan Cat"/>
        <s v="Torum"/>
        <s v="SUNCAT"/>
        <s v="HOME3"/>
      </sharedItems>
    </cacheField>
    <cacheField name="Symbol" numFmtId="0">
      <sharedItems/>
    </cacheField>
    <cacheField name="Price" numFmtId="0">
      <sharedItems containsSemiMixedTypes="0" containsString="0" containsNumber="1" minValue="2.1639999999999999E-5" maxValue="104058.04"/>
    </cacheField>
    <cacheField name="% Change 1h" numFmtId="0">
      <sharedItems/>
    </cacheField>
    <cacheField name="% Change 24h" numFmtId="0">
      <sharedItems containsSemiMixedTypes="0" containsString="0" containsNumber="1" minValue="-4.8335197041173547E-2" maxValue="0.23671134172827862"/>
    </cacheField>
    <cacheField name="% Change 7d" numFmtId="0">
      <sharedItems containsSemiMixedTypes="0" containsString="0" containsNumber="1" minValue="-9.7216732658967922E-2" maxValue="0.15698954415905747"/>
    </cacheField>
    <cacheField name="Avg Downfall %" numFmtId="0">
      <sharedItems containsSemiMixedTypes="0" containsString="0" containsNumber="1" minValue="-5.9919753469968008E-2" maxValue="0.19685044294366805"/>
    </cacheField>
    <cacheField name="Price Range" numFmtId="0">
      <sharedItems count="5">
        <s v="&gt;50"/>
        <s v="0.5-5"/>
        <s v="0.05-0.5"/>
        <s v="0-0.05"/>
        <s v="5-50"/>
      </sharedItems>
    </cacheField>
  </cacheFields>
  <extLst>
    <ext xmlns:x14="http://schemas.microsoft.com/office/spreadsheetml/2009/9/main" uri="{725AE2AE-9491-48be-B2B4-4EB974FC3084}">
      <x14:pivotCacheDefinition pivotCacheId="87551252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
  <r>
    <x v="0"/>
    <s v="BTC"/>
    <n v="104058.04"/>
    <s v="0.24%"/>
    <n v="3.7654190918441188E-2"/>
    <n v="-6.5631709150521175E-2"/>
    <n v="-1.3988759116039994E-2"/>
    <x v="0"/>
  </r>
  <r>
    <x v="1"/>
    <s v="ETH"/>
    <n v="2483.59"/>
    <s v="0.76%"/>
    <n v="-4.0221429902816332E-2"/>
    <n v="6.9662013219869909E-2"/>
    <n v="1.4720291658526789E-2"/>
    <x v="0"/>
  </r>
  <r>
    <x v="2"/>
    <s v="USDT"/>
    <n v="0.99990000000000001"/>
    <s v="0.04%"/>
    <n v="-1.8073415426834095E-2"/>
    <n v="7.0924784459359541E-2"/>
    <n v="2.6425684516262725E-2"/>
    <x v="1"/>
  </r>
  <r>
    <x v="3"/>
    <s v="XRP"/>
    <n v="2.12"/>
    <s v="0.55%"/>
    <n v="-1.9785018288456621E-2"/>
    <n v="-6.3941283899055901E-2"/>
    <n v="-4.1863151093756261E-2"/>
    <x v="1"/>
  </r>
  <r>
    <x v="4"/>
    <s v="BNB"/>
    <n v="644.79"/>
    <s v="0.10%"/>
    <n v="-4.8335197041173547E-2"/>
    <n v="-5.8655013518670772E-2"/>
    <n v="-5.3495105279922156E-2"/>
    <x v="0"/>
  </r>
  <r>
    <x v="5"/>
    <s v="SOL"/>
    <n v="142.66999999999999"/>
    <s v="0.99%"/>
    <n v="-3.5060519643987743E-2"/>
    <n v="-3.5691379475289484E-2"/>
    <n v="-3.5375949559638617E-2"/>
    <x v="0"/>
  </r>
  <r>
    <x v="6"/>
    <s v="USDC"/>
    <n v="0.99980000000000002"/>
    <s v="0.03%"/>
    <n v="4.0132648403329411E-2"/>
    <n v="-1.0255036052306233E-2"/>
    <n v="1.493880617551159E-2"/>
    <x v="1"/>
  </r>
  <r>
    <x v="7"/>
    <s v="TRX"/>
    <n v="0.27339999999999998"/>
    <s v="0.36%"/>
    <n v="2.6592458666401961E-2"/>
    <n v="-3.3647133201136579E-3"/>
    <n v="1.1613872673144152E-2"/>
    <x v="2"/>
  </r>
  <r>
    <x v="8"/>
    <s v="DOGE"/>
    <n v="0.16539999999999999"/>
    <s v="0.94%"/>
    <n v="-8.4324499100637291E-3"/>
    <n v="8.4793611855364506E-2"/>
    <n v="3.8180580972650389E-2"/>
    <x v="2"/>
  </r>
  <r>
    <x v="9"/>
    <s v="ADA"/>
    <n v="0.58079999999999998"/>
    <s v="0.96%"/>
    <n v="3.2016487058056098E-2"/>
    <n v="5.3908692079678223E-2"/>
    <n v="4.2962589568867157E-2"/>
    <x v="1"/>
  </r>
  <r>
    <x v="10"/>
    <s v="PENGU"/>
    <n v="9.0959999999999999E-3"/>
    <s v="1.40%"/>
    <n v="4.8719039311947716E-2"/>
    <n v="0.10926342479639074"/>
    <n v="7.8991232054169233E-2"/>
    <x v="3"/>
  </r>
  <r>
    <x v="11"/>
    <s v="WAL"/>
    <n v="0.42049999999999998"/>
    <s v="1.57%"/>
    <n v="5.9739164624470473E-2"/>
    <n v="-6.1160064998677731E-2"/>
    <n v="-7.1045018710362909E-4"/>
    <x v="2"/>
  </r>
  <r>
    <x v="12"/>
    <s v="RAY"/>
    <n v="2.06"/>
    <s v="1.17%"/>
    <n v="5.1868118571210708E-2"/>
    <n v="-4.1688632575384729E-2"/>
    <n v="5.0897429979129896E-3"/>
    <x v="1"/>
  </r>
  <r>
    <x v="13"/>
    <s v="CORE"/>
    <n v="0.54430000000000001"/>
    <s v="0.82%"/>
    <n v="3.6845750623369956E-2"/>
    <n v="-8.2994066802499059E-2"/>
    <n v="-2.3074158089564551E-2"/>
    <x v="1"/>
  </r>
  <r>
    <x v="14"/>
    <s v="XTZ"/>
    <n v="0.52070000000000005"/>
    <s v="0.66%"/>
    <n v="-1.8146053529963242E-2"/>
    <n v="-3.8124878953293598E-2"/>
    <n v="-2.813546624162842E-2"/>
    <x v="1"/>
  </r>
  <r>
    <x v="15"/>
    <s v="PYTH"/>
    <n v="9.4530000000000003E-2"/>
    <s v="2.27%"/>
    <n v="3.4570084863468235E-2"/>
    <n v="4.9312956535180613E-2"/>
    <n v="4.1941520699324428E-2"/>
    <x v="2"/>
  </r>
  <r>
    <x v="16"/>
    <s v="FLOW"/>
    <n v="0.33939999999999998"/>
    <s v="1.00%"/>
    <n v="-1.005970216830354E-2"/>
    <n v="9.3196037755962038E-2"/>
    <n v="4.1568167793829248E-2"/>
    <x v="2"/>
  </r>
  <r>
    <x v="17"/>
    <s v="SYRUP"/>
    <n v="0.46260000000000001"/>
    <s v="3.05%"/>
    <n v="4.3754058924940449E-2"/>
    <n v="-2.4591360362519583E-2"/>
    <n v="9.5813492812104328E-3"/>
    <x v="2"/>
  </r>
  <r>
    <x v="18"/>
    <s v="MANA"/>
    <n v="0.2505"/>
    <s v="1.37%"/>
    <n v="-2.727512692610529E-2"/>
    <n v="0.11173033264389769"/>
    <n v="4.22276028588962E-2"/>
    <x v="2"/>
  </r>
  <r>
    <x v="19"/>
    <s v="TUSD"/>
    <n v="0.99760000000000004"/>
    <s v="0.01%"/>
    <n v="4.7029618670745343E-2"/>
    <n v="-4.5406215215883339E-2"/>
    <n v="8.1170172743100233E-4"/>
    <x v="1"/>
  </r>
  <r>
    <x v="20"/>
    <s v="FTN"/>
    <n v="4.45"/>
    <s v="0.01%"/>
    <n v="-3.4175620452145158E-2"/>
    <n v="-1.0111314299423236E-2"/>
    <n v="-2.2143467375784195E-2"/>
    <x v="1"/>
  </r>
  <r>
    <x v="21"/>
    <s v="JLP"/>
    <n v="4.32"/>
    <s v="0.45%"/>
    <n v="3.5237448432688639E-2"/>
    <n v="-9.2386219628048327E-2"/>
    <n v="-2.8574385597679844E-2"/>
    <x v="1"/>
  </r>
  <r>
    <x v="22"/>
    <s v="ZBU"/>
    <n v="3.26"/>
    <s v="0.06%"/>
    <n v="2.7482364749864461E-2"/>
    <n v="9.3451462131958637E-2"/>
    <n v="6.0466913440911547E-2"/>
    <x v="1"/>
  </r>
  <r>
    <x v="23"/>
    <s v="FLZ"/>
    <n v="1.43"/>
    <s v="0.52%"/>
    <n v="3.3338097213306273E-2"/>
    <n v="-1.9591237209153529E-2"/>
    <n v="6.8734300020763719E-3"/>
    <x v="1"/>
  </r>
  <r>
    <x v="24"/>
    <s v="USD0"/>
    <n v="0.99770000000000003"/>
    <s v="0.01%"/>
    <n v="4.2323595786204163E-2"/>
    <n v="-3.4260012779565477E-3"/>
    <n v="1.9448797254123809E-2"/>
    <x v="1"/>
  </r>
  <r>
    <x v="25"/>
    <s v="USDY"/>
    <n v="1.0900000000000001"/>
    <s v="0.03%"/>
    <n v="-2.0711975980986973E-2"/>
    <n v="-4.5075873977123745E-2"/>
    <n v="-3.2893924979055356E-2"/>
    <x v="1"/>
  </r>
  <r>
    <x v="26"/>
    <s v="USDf"/>
    <n v="0.99970000000000003"/>
    <s v="0.00%"/>
    <n v="3.4535921964220007E-2"/>
    <n v="-3.7615083388818694E-3"/>
    <n v="1.5387206812669068E-2"/>
    <x v="1"/>
  </r>
  <r>
    <x v="27"/>
    <s v="LION"/>
    <n v="1.6469999999999999E-2"/>
    <s v="0.52%"/>
    <n v="2.4520653743570483E-2"/>
    <n v="-4.5348611448881096E-2"/>
    <n v="-1.0413978852655307E-2"/>
    <x v="3"/>
  </r>
  <r>
    <x v="28"/>
    <s v="WOULD"/>
    <n v="0.49459999999999998"/>
    <s v="3.03%"/>
    <n v="3.196644577185101E-2"/>
    <n v="-5.4759906424425471E-2"/>
    <n v="-1.1396730326287231E-2"/>
    <x v="2"/>
  </r>
  <r>
    <x v="29"/>
    <s v="WHITE"/>
    <n v="7.3550000000000004E-4"/>
    <s v="0.66%"/>
    <n v="2.5262870451277071E-2"/>
    <n v="-6.1352606648426615E-2"/>
    <n v="-1.8044868098574772E-2"/>
    <x v="3"/>
  </r>
  <r>
    <x v="30"/>
    <s v="ONT"/>
    <n v="0.1205"/>
    <s v="1.14%"/>
    <n v="3.2275843255360884E-2"/>
    <n v="-3.9728655332742398E-2"/>
    <n v="-3.726406038690757E-3"/>
    <x v="2"/>
  </r>
  <r>
    <x v="31"/>
    <s v="REQ"/>
    <n v="0.1336"/>
    <s v="0.32%"/>
    <n v="2.2906460216263934E-2"/>
    <n v="-1.5173518362787001E-2"/>
    <n v="3.8664709267384667E-3"/>
    <x v="2"/>
  </r>
  <r>
    <x v="32"/>
    <s v="PCI"/>
    <n v="0.1043"/>
    <s v="0.63%"/>
    <n v="-4.1761144545371123E-2"/>
    <n v="9.6164627623486709E-2"/>
    <n v="2.7201741539057793E-2"/>
    <x v="2"/>
  </r>
  <r>
    <x v="33"/>
    <s v="COTI"/>
    <n v="5.0279999999999998E-2"/>
    <s v="0.95%"/>
    <n v="9.9722558805747791E-3"/>
    <n v="5.8101692298837111E-2"/>
    <n v="3.4036974089705949E-2"/>
    <x v="2"/>
  </r>
  <r>
    <x v="34"/>
    <s v="G"/>
    <n v="1.1480000000000001E-2"/>
    <s v="1.13%"/>
    <n v="-3.0905528242210715E-3"/>
    <n v="3.5374708780290455E-2"/>
    <n v="1.6142077978034693E-2"/>
    <x v="3"/>
  </r>
  <r>
    <x v="35"/>
    <s v="LUNA"/>
    <n v="0.15359999999999999"/>
    <s v="1.01%"/>
    <n v="-3.8014320706848459E-2"/>
    <n v="-2.2162392511429364E-3"/>
    <n v="-2.0115279978995697E-2"/>
    <x v="2"/>
  </r>
  <r>
    <x v="36"/>
    <s v="SXP"/>
    <n v="0.16800000000000001"/>
    <s v="0.29%"/>
    <n v="1.6257247983777232E-2"/>
    <n v="6.4346754432081876E-2"/>
    <n v="4.0302001207929553E-2"/>
    <x v="2"/>
  </r>
  <r>
    <x v="37"/>
    <s v="DSYNC"/>
    <n v="0.1111"/>
    <s v="0.71%"/>
    <n v="3.1827359402306674E-2"/>
    <n v="2.1900411622323462E-2"/>
    <n v="2.6863885512315069E-2"/>
    <x v="2"/>
  </r>
  <r>
    <x v="38"/>
    <s v="WMTX"/>
    <n v="0.1537"/>
    <s v="0.54%"/>
    <n v="1.4449319270873369E-2"/>
    <n v="-6.8752867757587738E-2"/>
    <n v="-2.7151774243357185E-2"/>
    <x v="2"/>
  </r>
  <r>
    <x v="39"/>
    <s v="SKL"/>
    <n v="1.813E-2"/>
    <s v="1.59%"/>
    <n v="3.8726135827445801E-2"/>
    <n v="-6.3915514683048014E-2"/>
    <n v="-1.2594689427801106E-2"/>
    <x v="3"/>
  </r>
  <r>
    <x v="40"/>
    <s v="USUAL"/>
    <n v="7.1980000000000002E-2"/>
    <s v="1.14%"/>
    <n v="-1.7925098511315501E-3"/>
    <n v="-5.5798070305996421E-2"/>
    <n v="-2.8795290078563986E-2"/>
    <x v="2"/>
  </r>
  <r>
    <x v="41"/>
    <s v="ABT"/>
    <n v="0.73740000000000006"/>
    <s v="0.69%"/>
    <n v="-6.0957684777366138E-3"/>
    <n v="0.10523420605841656"/>
    <n v="4.9569218790339972E-2"/>
    <x v="1"/>
  </r>
  <r>
    <x v="42"/>
    <s v="MEME"/>
    <n v="1.5169999999999999E-3"/>
    <s v="1.88%"/>
    <n v="-4.3174442623314102E-3"/>
    <n v="-4.2748671531152513E-2"/>
    <n v="-2.3533057896741962E-2"/>
    <x v="3"/>
  </r>
  <r>
    <x v="43"/>
    <s v="MLK"/>
    <n v="0.15379999999999999"/>
    <s v="0.14%"/>
    <n v="2.1891133788908064E-2"/>
    <n v="1.7766368035615151E-2"/>
    <n v="1.9828750912261606E-2"/>
    <x v="2"/>
  </r>
  <r>
    <x v="44"/>
    <s v="DKA"/>
    <n v="1.5440000000000001E-2"/>
    <s v="0.17%"/>
    <n v="-3.2510224428496971E-2"/>
    <n v="5.3828966882448794E-2"/>
    <n v="1.0659371226975911E-2"/>
    <x v="3"/>
  </r>
  <r>
    <x v="45"/>
    <s v="AIC"/>
    <n v="9.5740000000000006E-2"/>
    <s v="1.09%"/>
    <n v="-2.7109647433539698E-2"/>
    <n v="-9.714717454503384E-3"/>
    <n v="-1.8412182444021541E-2"/>
    <x v="2"/>
  </r>
  <r>
    <x v="46"/>
    <s v="DEGEN"/>
    <n v="3.2290000000000001E-3"/>
    <s v="3.42%"/>
    <n v="1.1267753119279304E-2"/>
    <n v="0.11660541818508061"/>
    <n v="6.3936585652179953E-2"/>
    <x v="3"/>
  </r>
  <r>
    <x v="47"/>
    <s v="AEVO"/>
    <n v="7.8759999999999997E-2"/>
    <s v="1.61%"/>
    <n v="6.1691284507575189E-2"/>
    <n v="6.420328238017281E-2"/>
    <n v="6.2947283443874E-2"/>
    <x v="2"/>
  </r>
  <r>
    <x v="48"/>
    <s v="SPK"/>
    <n v="4.2049999999999997E-2"/>
    <s v="2.44%"/>
    <n v="7.3328390250700592E-2"/>
    <n v="-2.7051973303228501E-2"/>
    <n v="2.3138208473736044E-2"/>
    <x v="3"/>
  </r>
  <r>
    <x v="49"/>
    <s v="GCB"/>
    <n v="5.9470000000000002E-2"/>
    <s v="0.02%"/>
    <n v="-2.8491483302212919E-2"/>
    <n v="7.4261997185739392E-2"/>
    <n v="2.2885256941763236E-2"/>
    <x v="2"/>
  </r>
  <r>
    <x v="50"/>
    <s v="XEM"/>
    <n v="6.2719999999999998E-3"/>
    <s v="0.53%"/>
    <n v="3.2761058149024684E-2"/>
    <n v="-9.2349764023117731E-2"/>
    <n v="-2.9794352937046523E-2"/>
    <x v="3"/>
  </r>
  <r>
    <x v="51"/>
    <s v="HEART"/>
    <n v="6.6350000000000003E-3"/>
    <s v="1.32%"/>
    <n v="2.8052038667844323E-2"/>
    <n v="3.3657173662764453E-2"/>
    <n v="3.0854606165304388E-2"/>
    <x v="3"/>
  </r>
  <r>
    <x v="52"/>
    <s v="OAS"/>
    <n v="1.1769999999999999E-2"/>
    <s v="0.18%"/>
    <n v="1.0271599673910002E-2"/>
    <n v="7.6012937850387485E-2"/>
    <n v="4.3142268762148744E-2"/>
    <x v="3"/>
  </r>
  <r>
    <x v="53"/>
    <s v="SLP"/>
    <n v="1.253E-3"/>
    <s v="1.53%"/>
    <n v="1.3736050391981888E-2"/>
    <n v="7.9309650504537504E-2"/>
    <n v="4.6522850448259698E-2"/>
    <x v="3"/>
  </r>
  <r>
    <x v="54"/>
    <s v="NTRN"/>
    <n v="8.6260000000000003E-2"/>
    <s v="0.92%"/>
    <n v="-1.8539463458441204E-2"/>
    <n v="8.1605184950029191E-2"/>
    <n v="3.1532860745793992E-2"/>
    <x v="2"/>
  </r>
  <r>
    <x v="55"/>
    <s v="EURI"/>
    <n v="1.1499999999999999"/>
    <s v="0.07%"/>
    <n v="1.5986448324066416E-2"/>
    <n v="-4.428907652374365E-4"/>
    <n v="7.7717787794144896E-3"/>
    <x v="1"/>
  </r>
  <r>
    <x v="56"/>
    <s v="ANDY"/>
    <n v="5.1249999999999999E-5"/>
    <s v="0.57%"/>
    <n v="-3.9859417905047309E-2"/>
    <n v="6.5906248196965111E-2"/>
    <n v="1.3023415145958901E-2"/>
    <x v="3"/>
  </r>
  <r>
    <x v="57"/>
    <s v="GAME"/>
    <n v="2.875E-3"/>
    <s v="0.45%"/>
    <n v="-1.7771573828419988E-2"/>
    <n v="-6.8948527585311836E-2"/>
    <n v="-4.336005070686591E-2"/>
    <x v="3"/>
  </r>
  <r>
    <x v="58"/>
    <s v="TORN"/>
    <n v="9.67"/>
    <s v="0.10%"/>
    <n v="-3.1310992333631493E-2"/>
    <n v="-4.4398767771369986E-3"/>
    <n v="-1.7875434555384245E-2"/>
    <x v="4"/>
  </r>
  <r>
    <x v="59"/>
    <s v="DPI"/>
    <n v="90.45"/>
    <s v="2.82%"/>
    <n v="-4.3329703188871686E-3"/>
    <n v="9.9669128862762496E-2"/>
    <n v="4.7668079271937662E-2"/>
    <x v="0"/>
  </r>
  <r>
    <x v="60"/>
    <s v="KUJI"/>
    <n v="0.30309999999999998"/>
    <s v="1.73%"/>
    <n v="3.861555904946451E-2"/>
    <n v="6.0635842510414137E-2"/>
    <n v="4.9625700779939323E-2"/>
    <x v="2"/>
  </r>
  <r>
    <x v="61"/>
    <s v="GNS"/>
    <n v="1.26"/>
    <s v="0.31%"/>
    <n v="9.746579861245469E-4"/>
    <n v="-2.1355242689389969E-2"/>
    <n v="-1.0190292351632711E-2"/>
    <x v="1"/>
  </r>
  <r>
    <x v="62"/>
    <s v="AVA"/>
    <n v="0.53610000000000002"/>
    <s v="0.49%"/>
    <n v="2.4239656797974261E-2"/>
    <n v="2.0088025030704355E-2"/>
    <n v="2.216384091433931E-2"/>
    <x v="1"/>
  </r>
  <r>
    <x v="63"/>
    <s v="DEP"/>
    <n v="1.245E-3"/>
    <s v="0.25%"/>
    <n v="-3.2661032983765881E-2"/>
    <n v="6.8869963666057937E-2"/>
    <n v="1.8104465341146028E-2"/>
    <x v="3"/>
  </r>
  <r>
    <x v="64"/>
    <s v="ARENA"/>
    <n v="1.4970000000000001E-2"/>
    <s v="0.04%"/>
    <n v="3.079841500192947E-2"/>
    <n v="-1.0170474221855909E-2"/>
    <n v="1.0313970390036779E-2"/>
    <x v="3"/>
  </r>
  <r>
    <x v="65"/>
    <s v="DHN"/>
    <n v="2.13"/>
    <s v="0.05%"/>
    <n v="9.7019088136500835E-3"/>
    <n v="3.4721666391568186E-2"/>
    <n v="2.2211787602609133E-2"/>
    <x v="1"/>
  </r>
  <r>
    <x v="66"/>
    <s v="FORTH"/>
    <n v="2.5299999999999998"/>
    <s v="0.44%"/>
    <n v="2.7691608575502066E-2"/>
    <n v="-3.0609193086347575E-2"/>
    <n v="-1.4587922554227545E-3"/>
    <x v="1"/>
  </r>
  <r>
    <x v="67"/>
    <s v="META"/>
    <n v="2.1000000000000001E-2"/>
    <s v="0.08%"/>
    <n v="-1.4897685191775813E-2"/>
    <n v="5.4445996950956602E-2"/>
    <n v="1.9774155879590395E-2"/>
    <x v="3"/>
  </r>
  <r>
    <x v="68"/>
    <s v="CTK"/>
    <n v="0.2442"/>
    <s v="0.32%"/>
    <n v="-3.6490868108683218E-2"/>
    <n v="4.3866641104631961E-2"/>
    <n v="3.6878864979743714E-3"/>
    <x v="2"/>
  </r>
  <r>
    <x v="69"/>
    <s v="NAKA"/>
    <n v="0.33879999999999999"/>
    <s v="0.69%"/>
    <n v="-2.4532421901568787E-2"/>
    <n v="-2.4894456274535404E-3"/>
    <n v="-1.3510933764511164E-2"/>
    <x v="2"/>
  </r>
  <r>
    <x v="70"/>
    <s v="GRS"/>
    <n v="0.29930000000000001"/>
    <s v="0.15%"/>
    <n v="5.537723016107509E-3"/>
    <n v="1.7153238275921558E-2"/>
    <n v="1.1345480646014533E-2"/>
    <x v="2"/>
  </r>
  <r>
    <x v="71"/>
    <s v="NS"/>
    <n v="0.1401"/>
    <s v="1.77%"/>
    <n v="1.1517486293168285E-2"/>
    <n v="-3.7302035011190539E-2"/>
    <n v="-1.2892274359011127E-2"/>
    <x v="2"/>
  </r>
  <r>
    <x v="72"/>
    <s v="HAEDAL"/>
    <n v="0.12790000000000001"/>
    <s v="0.76%"/>
    <n v="-6.905505169401833E-3"/>
    <n v="-6.1709255822412511E-2"/>
    <n v="-3.4307380495907175E-2"/>
    <x v="2"/>
  </r>
  <r>
    <x v="73"/>
    <s v="FB"/>
    <n v="0.5232"/>
    <s v="2.19%"/>
    <n v="5.4289219955740806E-2"/>
    <n v="1.5229163597261888E-2"/>
    <n v="3.4759191776501344E-2"/>
    <x v="1"/>
  </r>
  <r>
    <x v="74"/>
    <s v="LAT"/>
    <n v="3.9259999999999998E-3"/>
    <s v="0.94%"/>
    <n v="5.2212375550523105E-2"/>
    <n v="-5.9790995392229172E-2"/>
    <n v="-3.7893099208530338E-3"/>
    <x v="3"/>
  </r>
  <r>
    <x v="75"/>
    <s v="NFP"/>
    <n v="5.6509999999999998E-2"/>
    <s v="1.46%"/>
    <n v="5.3184139527991878E-2"/>
    <n v="5.330504105601562E-2"/>
    <n v="5.3244590292003749E-2"/>
    <x v="2"/>
  </r>
  <r>
    <x v="76"/>
    <s v="OBT"/>
    <n v="8.3759999999999998E-3"/>
    <s v="4.27%"/>
    <n v="6.0595219632081317E-2"/>
    <n v="-5.6880856839051197E-2"/>
    <n v="1.8571813965150598E-3"/>
    <x v="3"/>
  </r>
  <r>
    <x v="77"/>
    <s v="CXT"/>
    <n v="2.6540000000000001E-2"/>
    <s v="0.33%"/>
    <n v="1.8075601023200792E-2"/>
    <n v="7.2768097808824414E-2"/>
    <n v="4.54218494160126E-2"/>
    <x v="3"/>
  </r>
  <r>
    <x v="78"/>
    <s v="OMG"/>
    <n v="0.18410000000000001"/>
    <s v="0.18%"/>
    <n v="4.3294669004233968E-2"/>
    <n v="5.7464441035857954E-2"/>
    <n v="5.0379555020045957E-2"/>
    <x v="2"/>
  </r>
  <r>
    <x v="79"/>
    <s v="RDNT"/>
    <n v="2.085E-2"/>
    <s v="1.26%"/>
    <n v="3.0646171584669601E-2"/>
    <n v="-2.8052043898628157E-2"/>
    <n v="1.297063843020722E-3"/>
    <x v="3"/>
  </r>
  <r>
    <x v="80"/>
    <s v="KLV"/>
    <n v="2.2439999999999999E-3"/>
    <s v="0.42%"/>
    <n v="-2.4732085629831618E-2"/>
    <n v="-9.5107421310104398E-2"/>
    <n v="-5.9919753469968008E-2"/>
    <x v="3"/>
  </r>
  <r>
    <x v="81"/>
    <s v="PUPS"/>
    <n v="2.0410000000000001E-2"/>
    <s v="4.24%"/>
    <n v="2.0200215313407141E-2"/>
    <n v="-3.7435853789461231E-2"/>
    <n v="-8.6178192380270448E-3"/>
    <x v="3"/>
  </r>
  <r>
    <x v="82"/>
    <s v="NATIX"/>
    <n v="1.2229999999999999E-3"/>
    <s v="0.02%"/>
    <n v="-1.9687574489439277E-2"/>
    <n v="4.5829827399937441E-2"/>
    <n v="1.3071126455249082E-2"/>
    <x v="3"/>
  </r>
  <r>
    <x v="83"/>
    <s v="OGY"/>
    <n v="2.5230000000000001E-3"/>
    <s v="1.24%"/>
    <n v="5.9100433338329539E-2"/>
    <n v="0.10511228932102346"/>
    <n v="8.2106361329676497E-2"/>
    <x v="3"/>
  </r>
  <r>
    <x v="84"/>
    <s v="DADDY"/>
    <n v="3.288E-2"/>
    <s v="0.01%"/>
    <n v="-1.2956916194169221E-2"/>
    <n v="-5.622887192759881E-2"/>
    <n v="-3.4592894060884019E-2"/>
    <x v="3"/>
  </r>
  <r>
    <x v="85"/>
    <s v="IDIA"/>
    <n v="2.8809999999999999E-2"/>
    <s v="0.03%"/>
    <n v="1.3822043273212936E-2"/>
    <n v="-6.7913947982117737E-2"/>
    <n v="-2.70459523544524E-2"/>
    <x v="3"/>
  </r>
  <r>
    <x v="86"/>
    <s v="LOKA"/>
    <n v="5.1970000000000002E-2"/>
    <s v="1.04%"/>
    <n v="2.9291869906333274E-3"/>
    <n v="-6.2895213371256364E-2"/>
    <n v="-2.9983013190311519E-2"/>
    <x v="2"/>
  </r>
  <r>
    <x v="87"/>
    <s v="MNGO"/>
    <n v="1.7489999999999999E-2"/>
    <s v="0.55%"/>
    <n v="-9.9630658925918877E-3"/>
    <n v="1.92255429198895E-2"/>
    <n v="4.631238513648806E-3"/>
    <x v="3"/>
  </r>
  <r>
    <x v="88"/>
    <s v="D"/>
    <n v="3.0099999999999998E-2"/>
    <s v="1.58%"/>
    <n v="2.0706708874175139E-2"/>
    <n v="-4.7156777038096363E-2"/>
    <n v="-1.3225034081960612E-2"/>
    <x v="3"/>
  </r>
  <r>
    <x v="89"/>
    <s v="AGT"/>
    <n v="1.3899999999999999E-2"/>
    <s v="0.55%"/>
    <n v="5.1521484955236667E-2"/>
    <n v="7.9539125986067369E-2"/>
    <n v="6.5530305470652014E-2"/>
    <x v="3"/>
  </r>
  <r>
    <x v="90"/>
    <s v="PORT3"/>
    <n v="4.41E-2"/>
    <s v="0.96%"/>
    <n v="1.5536883320717114E-4"/>
    <n v="-5.5844901935423477E-2"/>
    <n v="-2.7844766551108152E-2"/>
    <x v="3"/>
  </r>
  <r>
    <x v="91"/>
    <s v="SIX"/>
    <n v="1.8370000000000001E-2"/>
    <s v="0.40%"/>
    <n v="1.4807147567834297E-2"/>
    <n v="8.7541849330169993E-2"/>
    <n v="5.1174498449002147E-2"/>
    <x v="3"/>
  </r>
  <r>
    <x v="92"/>
    <s v="CULT"/>
    <n v="5.3610999999999999E-2"/>
    <s v="0.02%"/>
    <n v="1.0781271159841121E-2"/>
    <n v="5.8468756595223416E-2"/>
    <n v="3.4625013877532265E-2"/>
    <x v="2"/>
  </r>
  <r>
    <x v="93"/>
    <s v="CAW"/>
    <n v="7.1993000000000001E-2"/>
    <s v="0.03%"/>
    <n v="-2.3436540712962237E-2"/>
    <n v="4.5722975248057407E-2"/>
    <n v="1.1143217267547585E-2"/>
    <x v="2"/>
  </r>
  <r>
    <x v="94"/>
    <s v="CTXC"/>
    <n v="6.6669999999999993E-2"/>
    <s v="0.11%"/>
    <n v="4.0838459181539263E-2"/>
    <n v="6.8324450412720381E-2"/>
    <n v="5.4581454797129822E-2"/>
    <x v="2"/>
  </r>
  <r>
    <x v="95"/>
    <s v="PSG"/>
    <n v="1.6"/>
    <s v="0.18%"/>
    <n v="4.4421174723512907E-3"/>
    <n v="-9.4704216041413131E-2"/>
    <n v="-4.5131049284530919E-2"/>
    <x v="1"/>
  </r>
  <r>
    <x v="96"/>
    <s v="CGO"/>
    <n v="108.17"/>
    <s v="0.06%"/>
    <n v="-9.9353422013880102E-3"/>
    <n v="3.1467060285792561E-2"/>
    <n v="1.0765859042202276E-2"/>
    <x v="0"/>
  </r>
  <r>
    <x v="97"/>
    <s v="EDGE"/>
    <n v="7.5079999999999994E-2"/>
    <s v="0.07%"/>
    <n v="-3.3041503566689424E-2"/>
    <n v="-4.1343740054396838E-2"/>
    <n v="-3.7192621810543128E-2"/>
    <x v="2"/>
  </r>
  <r>
    <x v="98"/>
    <s v="COS"/>
    <n v="2.934E-3"/>
    <s v="0.73%"/>
    <n v="2.1675027272089181E-2"/>
    <n v="8.0726059876539302E-2"/>
    <n v="5.1200543574314243E-2"/>
    <x v="3"/>
  </r>
  <r>
    <x v="99"/>
    <s v="STEP"/>
    <n v="6.8440000000000001E-2"/>
    <s v="2.51%"/>
    <n v="4.2074936542224696E-2"/>
    <n v="0.1049391585066851"/>
    <n v="7.3507047524454902E-2"/>
    <x v="2"/>
  </r>
  <r>
    <x v="100"/>
    <s v="OCTA"/>
    <n v="0.3211"/>
    <s v="0.31%"/>
    <n v="9.4919995326407016E-3"/>
    <n v="-1.0667519885728219E-2"/>
    <n v="-5.8776017654375845E-4"/>
    <x v="2"/>
  </r>
  <r>
    <x v="101"/>
    <s v="AURA"/>
    <n v="0.18229999999999999"/>
    <s v="0.01%"/>
    <n v="3.7585674820263149E-2"/>
    <n v="-7.1242103093520248E-2"/>
    <n v="-1.682821413662855E-2"/>
    <x v="2"/>
  </r>
  <r>
    <x v="102"/>
    <s v="PIB"/>
    <n v="4.9510000000000005E-4"/>
    <s v="4.05%"/>
    <n v="4.9906250461687528E-2"/>
    <n v="-2.6060422043431265E-2"/>
    <n v="1.1922914209128131E-2"/>
    <x v="3"/>
  </r>
  <r>
    <x v="103"/>
    <s v="U2U"/>
    <n v="7.8300000000000002E-3"/>
    <s v="0.51%"/>
    <n v="5.9864500847596046E-3"/>
    <n v="3.5642013749289575E-2"/>
    <n v="2.0814231917024591E-2"/>
    <x v="3"/>
  </r>
  <r>
    <x v="104"/>
    <s v="XPRT"/>
    <n v="5.5989999999999998E-2"/>
    <s v="0.03%"/>
    <n v="-1.1967518356743357E-2"/>
    <n v="-3.629627184111358E-2"/>
    <n v="-2.413189509892847E-2"/>
    <x v="2"/>
  </r>
  <r>
    <x v="105"/>
    <s v="TROLL"/>
    <n v="1.193E-2"/>
    <s v="0.05%"/>
    <n v="3.2130041112726257E-2"/>
    <n v="-3.2315462910555703E-2"/>
    <n v="-9.2710898914723228E-5"/>
    <x v="3"/>
  </r>
  <r>
    <x v="106"/>
    <s v="WFI"/>
    <n v="0.42120000000000002"/>
    <s v="0.22%"/>
    <n v="2.3724202968025198E-2"/>
    <n v="7.7657972032803529E-2"/>
    <n v="5.0691087500414365E-2"/>
    <x v="2"/>
  </r>
  <r>
    <x v="107"/>
    <s v="DORA"/>
    <n v="2.198E-2"/>
    <s v="1.41%"/>
    <n v="4.32844403047387E-2"/>
    <n v="2.3746071798943835E-2"/>
    <n v="3.3515256051841268E-2"/>
    <x v="3"/>
  </r>
  <r>
    <x v="108"/>
    <s v="ALON"/>
    <n v="1.163E-2"/>
    <s v="0.42%"/>
    <n v="1.9423253661658021E-2"/>
    <n v="-5.5693887028600009E-2"/>
    <n v="-1.8135316683470994E-2"/>
    <x v="3"/>
  </r>
  <r>
    <x v="109"/>
    <s v="BIFI"/>
    <n v="146.91999999999999"/>
    <s v="0.16%"/>
    <n v="3.5881786958854654E-2"/>
    <n v="-3.7113705075822102E-2"/>
    <n v="-6.1595905848372406E-4"/>
    <x v="0"/>
  </r>
  <r>
    <x v="110"/>
    <s v="KARATE"/>
    <n v="1.392E-4"/>
    <s v="0.25%"/>
    <n v="-3.8351832302050526E-2"/>
    <n v="-5.5828300126230114E-2"/>
    <n v="-4.7090066214140316E-2"/>
    <x v="3"/>
  </r>
  <r>
    <x v="111"/>
    <s v="EFI"/>
    <n v="0.1065"/>
    <s v="0.00%"/>
    <n v="-3.1633019411826301E-2"/>
    <n v="5.1155906184154644E-2"/>
    <n v="9.7614433861641717E-3"/>
    <x v="2"/>
  </r>
  <r>
    <x v="112"/>
    <s v="NURA"/>
    <n v="1.8810000000000001E-3"/>
    <s v="0.12%"/>
    <n v="5.0339937114735424E-2"/>
    <n v="-9.7216732658967922E-2"/>
    <n v="-2.3438397772116249E-2"/>
    <x v="3"/>
  </r>
  <r>
    <x v="113"/>
    <s v="NXRA"/>
    <n v="9.0589999999999993E-3"/>
    <s v="0.88%"/>
    <n v="-3.8630596520972862E-3"/>
    <n v="9.5992242578129994E-2"/>
    <n v="4.6064591463016356E-2"/>
    <x v="3"/>
  </r>
  <r>
    <x v="114"/>
    <s v="DOGE"/>
    <n v="9.443E-3"/>
    <s v="1.39%"/>
    <n v="6.2654472256640448E-2"/>
    <n v="-7.1329087264238276E-3"/>
    <n v="2.7760781765108308E-2"/>
    <x v="3"/>
  </r>
  <r>
    <x v="115"/>
    <s v="MOONPIG"/>
    <n v="9.0810000000000005E-3"/>
    <s v="1.26%"/>
    <n v="5.6780691965081051E-2"/>
    <n v="-2.108237627938022E-2"/>
    <n v="1.7849157842850415E-2"/>
    <x v="3"/>
  </r>
  <r>
    <x v="116"/>
    <s v="AEROBUD"/>
    <n v="9.4009999999999996E-3"/>
    <s v="1.80%"/>
    <n v="3.035416315309631E-2"/>
    <n v="-6.6515694993875565E-2"/>
    <n v="-1.8080765920389628E-2"/>
    <x v="3"/>
  </r>
  <r>
    <x v="117"/>
    <s v="CHEQ"/>
    <n v="1.413E-2"/>
    <s v="0.45%"/>
    <n v="4.5257282182168245E-3"/>
    <n v="-1.1746363092270853E-2"/>
    <n v="-3.6103174370270144E-3"/>
    <x v="3"/>
  </r>
  <r>
    <x v="118"/>
    <s v="KOMA"/>
    <n v="1.661E-2"/>
    <s v="2.18%"/>
    <n v="1.8252308780838337E-2"/>
    <n v="-1.7621891065647842E-2"/>
    <n v="3.152088575952474E-4"/>
    <x v="3"/>
  </r>
  <r>
    <x v="119"/>
    <s v="PIT"/>
    <n v="9.2256000000000005E-2"/>
    <s v="1.42%"/>
    <n v="1.8246936794140876E-2"/>
    <n v="-3.1010122714432476E-2"/>
    <n v="-6.3815929601457998E-3"/>
    <x v="2"/>
  </r>
  <r>
    <x v="120"/>
    <s v="vLTC"/>
    <n v="1.69"/>
    <s v="0.45%"/>
    <n v="2.8667238533348471E-3"/>
    <n v="-7.5539733138866444E-2"/>
    <n v="-3.6336504642765798E-2"/>
    <x v="1"/>
  </r>
  <r>
    <x v="121"/>
    <s v="KONET"/>
    <n v="3.4939999999999999E-2"/>
    <s v="1.09%"/>
    <n v="4.7297053420054726E-2"/>
    <n v="0.1084290319019911"/>
    <n v="7.786304266102291E-2"/>
    <x v="3"/>
  </r>
  <r>
    <x v="122"/>
    <s v="CRETA"/>
    <n v="4.7939999999999997E-3"/>
    <s v="0.25%"/>
    <n v="-2.6954077839694161E-2"/>
    <n v="-3.8160104705778984E-2"/>
    <n v="-3.2557091272736573E-2"/>
    <x v="3"/>
  </r>
  <r>
    <x v="123"/>
    <s v="WRX"/>
    <n v="1.839E-2"/>
    <s v="0.53%"/>
    <n v="-1.9151135857214001E-2"/>
    <n v="-8.383516413379459E-2"/>
    <n v="-5.1493149995504292E-2"/>
    <x v="3"/>
  </r>
  <r>
    <x v="124"/>
    <s v="BXX"/>
    <n v="3.6720000000000003E-2"/>
    <s v="0.40%"/>
    <n v="1.980408937814811E-2"/>
    <n v="1.4873996625212068E-2"/>
    <n v="1.7339043001680089E-2"/>
    <x v="3"/>
  </r>
  <r>
    <x v="125"/>
    <s v="SNAI"/>
    <n v="7.7879999999999998E-3"/>
    <s v="1.42%"/>
    <n v="-1.80297449584822E-2"/>
    <n v="7.6893330637203376E-3"/>
    <n v="-5.1702059473809313E-3"/>
    <x v="3"/>
  </r>
  <r>
    <x v="126"/>
    <s v="HTR"/>
    <n v="1.508E-2"/>
    <s v="0.70%"/>
    <n v="4.2905191616612444E-2"/>
    <n v="-4.5731407466882965E-2"/>
    <n v="-1.4131079251352603E-3"/>
    <x v="3"/>
  </r>
  <r>
    <x v="127"/>
    <s v="vDAI"/>
    <n v="2.5340000000000001E-2"/>
    <s v="0.00%"/>
    <n v="3.1683016467679126E-2"/>
    <n v="-4.9155581268177942E-2"/>
    <n v="-8.736282400249408E-3"/>
    <x v="3"/>
  </r>
  <r>
    <x v="128"/>
    <s v="TRAC"/>
    <n v="0.33090000000000003"/>
    <s v="0.15%"/>
    <n v="-4.3714862315818434E-2"/>
    <n v="9.671191499743409E-2"/>
    <n v="2.6498526340807828E-2"/>
    <x v="2"/>
  </r>
  <r>
    <x v="129"/>
    <s v="AST"/>
    <n v="3.9579999999999997E-2"/>
    <s v="1.97%"/>
    <n v="6.8288299079080086E-2"/>
    <n v="0.10265585838410694"/>
    <n v="8.5472078731593515E-2"/>
    <x v="3"/>
  </r>
  <r>
    <x v="130"/>
    <s v="NUB"/>
    <n v="5.5209999999999999E-3"/>
    <s v="1.26%"/>
    <n v="-1.2549318815535969E-2"/>
    <n v="-6.7332158830805358E-2"/>
    <n v="-3.994073882317066E-2"/>
    <x v="3"/>
  </r>
  <r>
    <x v="131"/>
    <s v="XFI"/>
    <n v="9.0029999999999999E-2"/>
    <s v="0.22%"/>
    <n v="-2.6890923124754818E-2"/>
    <n v="4.1579809250503925E-2"/>
    <n v="7.3444430628745536E-3"/>
    <x v="2"/>
  </r>
  <r>
    <x v="132"/>
    <s v="BULL"/>
    <n v="5.4479999999999997E-3"/>
    <s v="0.00%"/>
    <n v="3.4439011413428956E-2"/>
    <n v="-4.3701731882725546E-2"/>
    <n v="-4.6313602346482949E-3"/>
    <x v="3"/>
  </r>
  <r>
    <x v="133"/>
    <s v="OFN"/>
    <n v="2.954E-2"/>
    <s v="0.22%"/>
    <n v="4.2154696748895534E-5"/>
    <n v="6.8209496596654068E-2"/>
    <n v="3.4125825646701483E-2"/>
    <x v="3"/>
  </r>
  <r>
    <x v="134"/>
    <s v="EVZ"/>
    <n v="2.2859999999999998E-3"/>
    <s v="0.35%"/>
    <n v="-2.410973635967462E-2"/>
    <n v="9.4481299607045044E-2"/>
    <n v="3.5185781623685214E-2"/>
    <x v="3"/>
  </r>
  <r>
    <x v="135"/>
    <s v="HERO"/>
    <n v="1.011E-3"/>
    <s v="0.20%"/>
    <n v="2.7861401305150808E-2"/>
    <n v="-3.2185011680813468E-2"/>
    <n v="-2.1618051878313296E-3"/>
    <x v="3"/>
  </r>
  <r>
    <x v="136"/>
    <s v="INTER"/>
    <n v="0.53059999999999996"/>
    <s v="0.06%"/>
    <n v="1.8030377630817749E-2"/>
    <n v="-7.8085746465208425E-2"/>
    <n v="-3.002768441719534E-2"/>
    <x v="1"/>
  </r>
  <r>
    <x v="137"/>
    <s v="DPINO"/>
    <n v="5.1869999999999998E-3"/>
    <s v="0.37%"/>
    <n v="1.8358406250833799E-2"/>
    <n v="-6.8679270047967297E-2"/>
    <n v="-2.5160431898566749E-2"/>
    <x v="3"/>
  </r>
  <r>
    <x v="138"/>
    <s v="VLX"/>
    <n v="1.885E-3"/>
    <s v="0.01%"/>
    <n v="-3.8975756364284839E-2"/>
    <n v="6.6699238062873825E-2"/>
    <n v="1.3861740849294493E-2"/>
    <x v="3"/>
  </r>
  <r>
    <x v="139"/>
    <s v="ABEL"/>
    <n v="4.9799999999999997E-2"/>
    <s v="0.62%"/>
    <n v="-1.9830792462193797E-2"/>
    <n v="5.1099920663828506E-2"/>
    <n v="1.5634564100817355E-2"/>
    <x v="3"/>
  </r>
  <r>
    <x v="140"/>
    <s v="XEP"/>
    <n v="2.2479999999999999E-4"/>
    <s v="0.15%"/>
    <n v="2.6850594955035022E-2"/>
    <n v="1.3525479903044233E-2"/>
    <n v="2.0188037429039629E-2"/>
    <x v="3"/>
  </r>
  <r>
    <x v="141"/>
    <s v="KIN"/>
    <n v="5.1470000000000002E-2"/>
    <s v="4.64%"/>
    <n v="8.2531129392939453E-2"/>
    <n v="1.9682910496201789E-2"/>
    <n v="5.110701994457062E-2"/>
    <x v="2"/>
  </r>
  <r>
    <x v="142"/>
    <s v="KILO"/>
    <n v="1.908E-2"/>
    <s v="0.57%"/>
    <n v="2.1677538713735473E-2"/>
    <n v="2.1259738588285011E-2"/>
    <n v="2.1468638651010244E-2"/>
    <x v="3"/>
  </r>
  <r>
    <x v="143"/>
    <s v="PRAI"/>
    <n v="1.9529999999999999E-2"/>
    <s v="0.03%"/>
    <n v="-4.7508874763265804E-2"/>
    <n v="2.0296201514155312E-2"/>
    <n v="-1.3606336624555246E-2"/>
    <x v="3"/>
  </r>
  <r>
    <x v="144"/>
    <s v="MAD"/>
    <n v="5.3982000000000002E-2"/>
    <s v="1.04%"/>
    <n v="2.9310128339728972E-2"/>
    <n v="-3.3648306092684065E-2"/>
    <n v="-2.1690888764775464E-3"/>
    <x v="2"/>
  </r>
  <r>
    <x v="145"/>
    <s v="XRT"/>
    <n v="2.34"/>
    <s v="0.12%"/>
    <n v="-2.9255044946756504E-2"/>
    <n v="-4.8283814589073614E-3"/>
    <n v="-1.7041713202831932E-2"/>
    <x v="1"/>
  </r>
  <r>
    <x v="146"/>
    <s v="ALT"/>
    <n v="3.3210000000000003E-2"/>
    <s v="0.90%"/>
    <n v="4.018823030424004E-3"/>
    <n v="4.8886826048275912E-2"/>
    <n v="2.6452824539349957E-2"/>
    <x v="3"/>
  </r>
  <r>
    <x v="147"/>
    <s v="BCN"/>
    <n v="2.1639999999999999E-5"/>
    <s v="0.10%"/>
    <n v="1.7916318872173632E-2"/>
    <n v="4.1271177343663812E-2"/>
    <n v="2.9593748107918722E-2"/>
    <x v="3"/>
  </r>
  <r>
    <x v="148"/>
    <s v="MNW"/>
    <n v="8.2830000000000001E-2"/>
    <s v="1.72%"/>
    <n v="4.3270120767943773E-2"/>
    <n v="4.0491299458987606E-2"/>
    <n v="4.188071011346569E-2"/>
    <x v="2"/>
  </r>
  <r>
    <x v="149"/>
    <s v="WELF"/>
    <n v="0.53049999999999997"/>
    <s v="0.68%"/>
    <n v="2.2894646926654431E-2"/>
    <n v="8.5306224366566222E-2"/>
    <n v="5.4100435646610323E-2"/>
    <x v="1"/>
  </r>
  <r>
    <x v="150"/>
    <s v="CPH"/>
    <n v="8.4449999999999994E-3"/>
    <s v="0.02%"/>
    <n v="-4.6574514199918433E-3"/>
    <n v="3.5234719879471042E-2"/>
    <n v="1.5288634229739599E-2"/>
    <x v="3"/>
  </r>
  <r>
    <x v="151"/>
    <s v="DINGO"/>
    <n v="2.8370000000000001E-5"/>
    <s v="0.37%"/>
    <n v="1.9658520565485789E-2"/>
    <n v="-4.3392765011913727E-2"/>
    <n v="-1.1867122223213969E-2"/>
    <x v="3"/>
  </r>
  <r>
    <x v="152"/>
    <s v="IBS"/>
    <n v="8.03E-4"/>
    <s v="0.02%"/>
    <n v="-2.8684531937940419E-2"/>
    <n v="6.9807956251468725E-2"/>
    <n v="2.0561712156764153E-2"/>
    <x v="3"/>
  </r>
  <r>
    <x v="153"/>
    <s v="AIT"/>
    <n v="1.094E-2"/>
    <s v="1.18%"/>
    <n v="-1.4585692989688747E-2"/>
    <n v="8.2362658102149156E-2"/>
    <n v="3.3888482556230205E-2"/>
    <x v="3"/>
  </r>
  <r>
    <x v="154"/>
    <s v="BTC2"/>
    <n v="0.17610000000000001"/>
    <s v="3.34%"/>
    <n v="7.7232248832561301E-2"/>
    <n v="-4.1425393475954989E-2"/>
    <n v="1.7903427678303156E-2"/>
    <x v="2"/>
  </r>
  <r>
    <x v="155"/>
    <s v="FLIX"/>
    <n v="1.286E-2"/>
    <s v="0.02%"/>
    <n v="2.151705288690102E-2"/>
    <n v="5.8963541203026583E-2"/>
    <n v="4.0240297044963805E-2"/>
    <x v="3"/>
  </r>
  <r>
    <x v="156"/>
    <s v="TRVL"/>
    <n v="7.7060000000000002E-3"/>
    <s v="0.09%"/>
    <n v="1.1719270885414001E-2"/>
    <n v="-4.9525939522039597E-2"/>
    <n v="-1.8903334318312797E-2"/>
    <x v="3"/>
  </r>
  <r>
    <x v="157"/>
    <s v="BOX"/>
    <n v="1.06E-2"/>
    <s v="1.61%"/>
    <n v="-3.0445054500815409E-3"/>
    <n v="-4.7768645097275075E-2"/>
    <n v="-2.540657527367831E-2"/>
    <x v="3"/>
  </r>
  <r>
    <x v="158"/>
    <s v="AKITA"/>
    <n v="7.4697E-2"/>
    <s v="0.11%"/>
    <n v="-3.931645077477345E-2"/>
    <n v="4.9311085587380538E-2"/>
    <n v="4.997317406303544E-3"/>
    <x v="2"/>
  </r>
  <r>
    <x v="159"/>
    <s v="HINT"/>
    <n v="6.9080000000000001E-3"/>
    <s v="0.12%"/>
    <n v="1.3323064508174252E-2"/>
    <n v="3.6007834883214684E-2"/>
    <n v="2.4665449695694466E-2"/>
    <x v="3"/>
  </r>
  <r>
    <x v="160"/>
    <s v="SEN"/>
    <n v="2.632E-2"/>
    <s v="2.67%"/>
    <n v="-5.9621479796059113E-4"/>
    <n v="7.6797852276283649E-2"/>
    <n v="3.8100818739161532E-2"/>
    <x v="3"/>
  </r>
  <r>
    <x v="161"/>
    <s v="SYLO"/>
    <n v="4.2319999999999999E-4"/>
    <s v="0.97%"/>
    <n v="3.4003359868833953E-2"/>
    <n v="-6.8955185350396311E-2"/>
    <n v="-1.7475912740781179E-2"/>
    <x v="3"/>
  </r>
  <r>
    <x v="162"/>
    <s v="PORNROCKET"/>
    <n v="8.6726999999999999E-2"/>
    <s v="0.00%"/>
    <n v="4.0120813709024795E-2"/>
    <n v="-8.5148962346179788E-2"/>
    <n v="-2.2514074318577496E-2"/>
    <x v="2"/>
  </r>
  <r>
    <x v="163"/>
    <s v="FNCY"/>
    <n v="2.2959999999999999E-3"/>
    <s v="0.10%"/>
    <n v="3.2668183544552476E-2"/>
    <n v="-3.3397318436912083E-3"/>
    <n v="1.4664225850430633E-2"/>
    <x v="3"/>
  </r>
  <r>
    <x v="164"/>
    <s v="HOGE"/>
    <n v="5.638E-2"/>
    <s v="2.48%"/>
    <n v="4.7210208720383617E-2"/>
    <n v="-2.7273484854346153E-2"/>
    <n v="9.968361933018732E-3"/>
    <x v="2"/>
  </r>
  <r>
    <x v="165"/>
    <s v="BDP"/>
    <n v="4.8439999999999997E-2"/>
    <s v="0.11%"/>
    <n v="-3.1804818674199827E-2"/>
    <n v="5.0328800866763619E-2"/>
    <n v="9.2619910962818963E-3"/>
    <x v="3"/>
  </r>
  <r>
    <x v="166"/>
    <s v="BYTE"/>
    <n v="5.2623999999999997E-2"/>
    <s v="0.04%"/>
    <n v="-2.0265080915663692E-2"/>
    <n v="-2.9001605477498991E-2"/>
    <n v="-2.4633343196581343E-2"/>
    <x v="2"/>
  </r>
  <r>
    <x v="167"/>
    <s v="UBC"/>
    <n v="2.5270000000000002E-3"/>
    <s v="0.59%"/>
    <n v="2.0510452377658743E-2"/>
    <n v="-4.6141007487210783E-2"/>
    <n v="-1.281527755477602E-2"/>
    <x v="3"/>
  </r>
  <r>
    <x v="168"/>
    <s v="ADM"/>
    <n v="2.283E-2"/>
    <s v="0.32%"/>
    <n v="3.1115277903311287E-2"/>
    <n v="4.5815923459086361E-2"/>
    <n v="3.8465600681198822E-2"/>
    <x v="3"/>
  </r>
  <r>
    <x v="169"/>
    <s v="CHADETTE"/>
    <n v="2.6020000000000001E-3"/>
    <s v="0.80%"/>
    <n v="-1.5506628380978313E-2"/>
    <n v="0.1078820645036937"/>
    <n v="4.6187718061357692E-2"/>
    <x v="3"/>
  </r>
  <r>
    <x v="170"/>
    <s v="NULS"/>
    <n v="1.772E-2"/>
    <s v="0.81%"/>
    <n v="3.3250950706394937E-2"/>
    <n v="1.1178589392671493E-2"/>
    <n v="2.2214770049533216E-2"/>
    <x v="3"/>
  </r>
  <r>
    <x v="171"/>
    <s v="QUQ"/>
    <n v="2.003E-3"/>
    <s v="1.58%"/>
    <n v="3.9809616561381184E-2"/>
    <n v="6.4780659690917869E-2"/>
    <n v="5.2295138126149526E-2"/>
    <x v="3"/>
  </r>
  <r>
    <x v="172"/>
    <s v="GRG"/>
    <n v="0.73839999999999995"/>
    <s v="0.09%"/>
    <n v="-2.7789216697807727E-2"/>
    <n v="8.7958578922586544E-2"/>
    <n v="3.0084681112389409E-2"/>
    <x v="1"/>
  </r>
  <r>
    <x v="173"/>
    <s v="LEGIT"/>
    <n v="2.032E-3"/>
    <s v="1.56%"/>
    <n v="-7.6493235156033616E-3"/>
    <n v="-5.5117933185022727E-2"/>
    <n v="-3.1383628350313046E-2"/>
    <x v="3"/>
  </r>
  <r>
    <x v="174"/>
    <s v="SERO"/>
    <n v="4.5649999999999996E-3"/>
    <s v="0.10%"/>
    <n v="-1.4885067796042505E-2"/>
    <n v="5.6975732173457236E-2"/>
    <n v="2.1045332188707366E-2"/>
    <x v="3"/>
  </r>
  <r>
    <x v="175"/>
    <s v="LETIT"/>
    <n v="3.1009999999999999E-2"/>
    <s v="1.21%"/>
    <n v="8.6783936876260407E-3"/>
    <n v="6.9355623268284664E-2"/>
    <n v="3.9017008477955355E-2"/>
    <x v="3"/>
  </r>
  <r>
    <x v="176"/>
    <s v="GO"/>
    <n v="1.5070000000000001E-3"/>
    <s v="0.03%"/>
    <n v="-4.4049687023374424E-2"/>
    <n v="4.4101662600713541E-2"/>
    <n v="2.5987788669558365E-5"/>
    <x v="3"/>
  </r>
  <r>
    <x v="177"/>
    <s v="BCCOIN"/>
    <n v="0.1976"/>
    <s v="1.20%"/>
    <n v="-5.529939217925859E-3"/>
    <n v="8.3872035081498819E-2"/>
    <n v="3.9171047931786482E-2"/>
    <x v="2"/>
  </r>
  <r>
    <x v="178"/>
    <s v="HABIBI"/>
    <n v="2.4190000000000001E-3"/>
    <s v="0.97%"/>
    <n v="-3.9924187982480042E-2"/>
    <n v="2.9165287330872917E-2"/>
    <n v="-5.3794503258035621E-3"/>
    <x v="3"/>
  </r>
  <r>
    <x v="179"/>
    <s v="MBS"/>
    <n v="3.1489999999999999E-3"/>
    <s v="0.00%"/>
    <n v="4.6205214852199007E-2"/>
    <n v="-8.2920102610176641E-2"/>
    <n v="-1.8357443878988817E-2"/>
    <x v="3"/>
  </r>
  <r>
    <x v="180"/>
    <s v="CTRL"/>
    <n v="7.8279999999999999E-3"/>
    <s v="18.79%"/>
    <n v="0.23671134172827862"/>
    <n v="0.15698954415905747"/>
    <n v="0.19685044294366805"/>
    <x v="3"/>
  </r>
  <r>
    <x v="181"/>
    <s v="DIP"/>
    <n v="6.6490000000000004E-3"/>
    <s v="0.00%"/>
    <n v="3.7810157425055266E-2"/>
    <n v="-6.9114796286745994E-2"/>
    <n v="-1.5652319430845364E-2"/>
    <x v="3"/>
  </r>
  <r>
    <x v="182"/>
    <s v="RBC"/>
    <n v="9.6310000000000007E-3"/>
    <s v="0.28%"/>
    <n v="4.8276465531787591E-2"/>
    <n v="-3.1806972706729678E-2"/>
    <n v="8.2347464125289566E-3"/>
    <x v="3"/>
  </r>
  <r>
    <x v="183"/>
    <s v="BIZA"/>
    <n v="5.9199999999999997E-4"/>
    <s v="0.68%"/>
    <n v="4.2670713701089338E-2"/>
    <n v="-1.4660871872493014E-2"/>
    <n v="1.4004920914298162E-2"/>
    <x v="3"/>
  </r>
  <r>
    <x v="184"/>
    <s v="BIGFACTS"/>
    <n v="3.4099999999999998E-3"/>
    <s v="0.31%"/>
    <n v="4.5976051595712471E-3"/>
    <n v="-5.5608778791227137E-2"/>
    <n v="-2.5505586815827944E-2"/>
    <x v="3"/>
  </r>
  <r>
    <x v="185"/>
    <s v="DDBAM"/>
    <n v="7.5139999999999998E-2"/>
    <s v="0.01%"/>
    <n v="4.0614752217055176E-2"/>
    <n v="6.2377553980265468E-2"/>
    <n v="5.1496153098660319E-2"/>
    <x v="2"/>
  </r>
  <r>
    <x v="186"/>
    <s v="RC"/>
    <n v="7.633E-3"/>
    <s v="1.10%"/>
    <n v="4.7383931780926713E-3"/>
    <n v="1.1711670709499668E-2"/>
    <n v="8.2250319437961704E-3"/>
    <x v="3"/>
  </r>
  <r>
    <x v="187"/>
    <s v="LAVA"/>
    <n v="6.391E-3"/>
    <s v="0.00%"/>
    <n v="-1.9656092884160904E-2"/>
    <n v="8.3353660487992004E-2"/>
    <n v="3.1848783801915553E-2"/>
    <x v="3"/>
  </r>
  <r>
    <x v="188"/>
    <s v="DHB"/>
    <n v="3.8420000000000001E-4"/>
    <s v="0.00%"/>
    <n v="-1.8348769345262451E-2"/>
    <n v="-8.4308396633664587E-2"/>
    <n v="-5.1328582989463523E-2"/>
    <x v="3"/>
  </r>
  <r>
    <x v="189"/>
    <s v="MUBARAKAH"/>
    <n v="1.565E-3"/>
    <s v="0.20%"/>
    <n v="4.4222570272051155E-2"/>
    <n v="3.2880903574727123E-2"/>
    <n v="3.8551736923389139E-2"/>
    <x v="3"/>
  </r>
  <r>
    <x v="190"/>
    <s v="TOWER"/>
    <n v="4.2460000000000002E-4"/>
    <s v="0.16%"/>
    <n v="1.0362278651127821E-2"/>
    <n v="5.8841514951775427E-2"/>
    <n v="3.460189680145162E-2"/>
    <x v="3"/>
  </r>
  <r>
    <x v="191"/>
    <s v="OTK"/>
    <n v="4.0850000000000001E-3"/>
    <s v="0.20%"/>
    <n v="-2.5604250065401783E-2"/>
    <n v="1.5066106849851277E-2"/>
    <n v="-5.269071607775253E-3"/>
    <x v="3"/>
  </r>
  <r>
    <x v="192"/>
    <s v="SSLX"/>
    <n v="4.9459999999999999E-4"/>
    <s v="0.43%"/>
    <n v="5.3748023678656248E-2"/>
    <n v="9.7278972958328797E-2"/>
    <n v="7.5513498318492522E-2"/>
    <x v="3"/>
  </r>
  <r>
    <x v="193"/>
    <s v="ERTHA"/>
    <n v="6.265E-4"/>
    <s v="0.19%"/>
    <n v="-1.1148708291508059E-2"/>
    <n v="-8.8638150051876738E-2"/>
    <n v="-4.9893429171692399E-2"/>
    <x v="3"/>
  </r>
  <r>
    <x v="194"/>
    <s v="SAFE"/>
    <n v="4.4560000000000002E-2"/>
    <s v="1.26%"/>
    <n v="4.3105770048651362E-2"/>
    <n v="-4.6401460677484706E-2"/>
    <n v="-1.6478453144166717E-3"/>
    <x v="3"/>
  </r>
  <r>
    <x v="195"/>
    <s v="BULLY"/>
    <n v="1.286E-3"/>
    <s v="0.00%"/>
    <n v="-1.9332553786008389E-2"/>
    <n v="-9.3766745087981579E-2"/>
    <n v="-5.6549649436994982E-2"/>
    <x v="3"/>
  </r>
  <r>
    <x v="196"/>
    <s v="LANLAN"/>
    <n v="1.3799999999999999E-4"/>
    <s v="11.77%"/>
    <n v="0.15812160970366085"/>
    <n v="5.5933967915253527E-2"/>
    <n v="0.10702778880945718"/>
    <x v="3"/>
  </r>
  <r>
    <x v="197"/>
    <s v="XTM"/>
    <n v="6.2379999999999996E-3"/>
    <s v="2.94%"/>
    <n v="-1.9537438267854538E-2"/>
    <n v="9.549301813813546E-2"/>
    <n v="3.7977789935140463E-2"/>
    <x v="3"/>
  </r>
  <r>
    <x v="198"/>
    <s v="SUNCAT"/>
    <n v="1.2199999999999999E-3"/>
    <s v="0.79%"/>
    <n v="1.1677337669049664E-2"/>
    <n v="7.5242164566090133E-2"/>
    <n v="4.3459751117569896E-2"/>
    <x v="3"/>
  </r>
  <r>
    <x v="199"/>
    <s v="HTS"/>
    <n v="1.532E-2"/>
    <s v="2.06%"/>
    <n v="-5.5818047790986043E-3"/>
    <n v="-7.8216788847662838E-2"/>
    <n v="-4.1899296813380719E-2"/>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A2E0EF-4101-45FC-9DDF-B888414DD5D9}"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C11" firstHeaderRow="0" firstDataRow="1" firstDataCol="1"/>
  <pivotFields count="8">
    <pivotField axis="axisRow" dataField="1" showAll="0">
      <items count="201">
        <item x="139"/>
        <item x="168"/>
        <item x="116"/>
        <item x="47"/>
        <item x="45"/>
        <item x="129"/>
        <item x="153"/>
        <item x="158"/>
        <item x="89"/>
        <item x="146"/>
        <item x="108"/>
        <item x="66"/>
        <item x="56"/>
        <item x="41"/>
        <item x="101"/>
        <item x="62"/>
        <item x="124"/>
        <item x="109"/>
        <item x="165"/>
        <item x="184"/>
        <item x="0"/>
        <item x="154"/>
        <item x="183"/>
        <item x="177"/>
        <item x="4"/>
        <item x="166"/>
        <item x="147"/>
        <item x="9"/>
        <item x="169"/>
        <item x="117"/>
        <item x="96"/>
        <item x="98"/>
        <item x="13"/>
        <item x="94"/>
        <item x="33"/>
        <item x="77"/>
        <item x="122"/>
        <item x="131"/>
        <item x="93"/>
        <item x="180"/>
        <item x="92"/>
        <item x="150"/>
        <item x="84"/>
        <item x="88"/>
        <item x="137"/>
        <item x="63"/>
        <item x="157"/>
        <item x="18"/>
        <item x="59"/>
        <item x="97"/>
        <item x="46"/>
        <item x="188"/>
        <item x="114"/>
        <item x="37"/>
        <item x="185"/>
        <item x="151"/>
        <item x="44"/>
        <item x="8"/>
        <item x="65"/>
        <item x="195"/>
        <item x="107"/>
        <item x="111"/>
        <item x="140"/>
        <item x="134"/>
        <item x="193"/>
        <item x="1"/>
        <item x="181"/>
        <item x="55"/>
        <item x="26"/>
        <item x="20"/>
        <item x="23"/>
        <item x="16"/>
        <item x="163"/>
        <item x="73"/>
        <item x="61"/>
        <item x="57"/>
        <item x="49"/>
        <item x="176"/>
        <item x="34"/>
        <item x="70"/>
        <item x="178"/>
        <item x="72"/>
        <item x="126"/>
        <item x="159"/>
        <item x="164"/>
        <item x="199"/>
        <item x="51"/>
        <item x="152"/>
        <item x="85"/>
        <item x="136"/>
        <item x="21"/>
        <item x="110"/>
        <item x="142"/>
        <item x="141"/>
        <item x="80"/>
        <item x="118"/>
        <item x="121"/>
        <item x="60"/>
        <item x="196"/>
        <item x="86"/>
        <item x="173"/>
        <item x="175"/>
        <item x="27"/>
        <item x="144"/>
        <item x="87"/>
        <item x="17"/>
        <item x="42"/>
        <item x="67"/>
        <item x="135"/>
        <item x="43"/>
        <item x="115"/>
        <item x="148"/>
        <item x="189"/>
        <item x="69"/>
        <item x="82"/>
        <item x="50"/>
        <item x="54"/>
        <item x="113"/>
        <item x="75"/>
        <item x="130"/>
        <item x="170"/>
        <item x="112"/>
        <item x="52"/>
        <item x="100"/>
        <item x="191"/>
        <item x="78"/>
        <item x="155"/>
        <item x="25"/>
        <item x="30"/>
        <item x="133"/>
        <item x="76"/>
        <item x="83"/>
        <item x="95"/>
        <item x="32"/>
        <item x="104"/>
        <item x="102"/>
        <item x="119"/>
        <item x="74"/>
        <item x="162"/>
        <item x="90"/>
        <item x="143"/>
        <item x="10"/>
        <item x="81"/>
        <item x="15"/>
        <item x="171"/>
        <item x="79"/>
        <item x="12"/>
        <item x="186"/>
        <item x="31"/>
        <item x="172"/>
        <item x="145"/>
        <item x="182"/>
        <item x="194"/>
        <item x="160"/>
        <item x="68"/>
        <item x="91"/>
        <item x="39"/>
        <item x="53"/>
        <item x="5"/>
        <item x="36"/>
        <item x="48"/>
        <item x="192"/>
        <item x="99"/>
        <item x="179"/>
        <item x="71"/>
        <item x="198"/>
        <item x="174"/>
        <item x="125"/>
        <item x="161"/>
        <item x="35"/>
        <item x="2"/>
        <item x="14"/>
        <item x="64"/>
        <item x="58"/>
        <item x="197"/>
        <item x="190"/>
        <item x="128"/>
        <item x="105"/>
        <item x="7"/>
        <item x="132"/>
        <item x="19"/>
        <item x="156"/>
        <item x="103"/>
        <item x="167"/>
        <item x="6"/>
        <item x="40"/>
        <item x="24"/>
        <item x="138"/>
        <item x="127"/>
        <item x="120"/>
        <item x="187"/>
        <item x="11"/>
        <item x="123"/>
        <item x="106"/>
        <item x="149"/>
        <item x="29"/>
        <item x="38"/>
        <item x="28"/>
        <item x="3"/>
        <item x="22"/>
        <item t="default"/>
      </items>
    </pivotField>
    <pivotField showAll="0"/>
    <pivotField showAll="0"/>
    <pivotField showAll="0"/>
    <pivotField showAll="0"/>
    <pivotField showAll="0"/>
    <pivotField dataField="1" showAll="0"/>
    <pivotField showAll="0">
      <items count="6">
        <item x="0"/>
        <item h="1" x="2"/>
        <item h="1" x="1"/>
        <item h="1" x="3"/>
        <item h="1" x="4"/>
        <item t="default"/>
      </items>
    </pivotField>
  </pivotFields>
  <rowFields count="1">
    <field x="0"/>
  </rowFields>
  <rowItems count="8">
    <i>
      <x v="17"/>
    </i>
    <i>
      <x v="20"/>
    </i>
    <i>
      <x v="24"/>
    </i>
    <i>
      <x v="30"/>
    </i>
    <i>
      <x v="48"/>
    </i>
    <i>
      <x v="65"/>
    </i>
    <i>
      <x v="158"/>
    </i>
    <i t="grand">
      <x/>
    </i>
  </rowItems>
  <colFields count="1">
    <field x="-2"/>
  </colFields>
  <colItems count="2">
    <i>
      <x/>
    </i>
    <i i="1">
      <x v="1"/>
    </i>
  </colItems>
  <dataFields count="2">
    <dataField name="Count of Coin Name" fld="0" subtotal="count" baseField="0" baseItem="0"/>
    <dataField name="Min of Avg Downfall %" fld="6" subtotal="min"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Range" xr10:uid="{179E7480-E1BC-4FEE-AB3E-4DB86C70F9E7}" sourceName="Price Range">
  <pivotTables>
    <pivotTable tabId="2" name="PivotTable1"/>
  </pivotTables>
  <data>
    <tabular pivotCacheId="875512524">
      <items count="5">
        <i x="0" s="1"/>
        <i x="2"/>
        <i x="1"/>
        <i x="3"/>
        <i x="4"/>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Range_2" xr10:uid="{A237F3D9-6073-4768-85F9-7AEA0B039415}" sourceName="Price Range 2">
  <extLst>
    <x:ext xmlns:x15="http://schemas.microsoft.com/office/spreadsheetml/2010/11/main" uri="{2F2917AC-EB37-4324-AD4E-5DD8C200BD13}">
      <x15:tableSlicerCache tableId="3" column="1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Range" xr10:uid="{AC03C448-1754-4B81-9CAA-3A2181A726C0}" cache="Slicer_Price_Range" caption="Price Range"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Category" xr10:uid="{B477BCF8-5396-4622-B749-8FC843EAD962}" cache="Slicer_Price_Range_2" caption="Price Range 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DB6338C-41C6-44A8-9E2B-6CC834B48AF8}" name="Table2" displayName="Table2" ref="A1:H201" totalsRowShown="0" headerRowDxfId="8">
  <autoFilter ref="A1:H201" xr:uid="{7DB6338C-41C6-44A8-9E2B-6CC834B48AF8}"/>
  <tableColumns count="8">
    <tableColumn id="1" xr3:uid="{71B6EB2F-60F6-4A3E-941F-E86DAB9F7ADD}" name="Coin Name"/>
    <tableColumn id="2" xr3:uid="{4BA98394-4922-443D-A324-C0EC562D529E}" name="Symbol"/>
    <tableColumn id="3" xr3:uid="{BF05203C-2669-459A-8ECD-F66578329CBD}" name="Price"/>
    <tableColumn id="4" xr3:uid="{0B5F1C1C-2E35-49E2-871E-16A9A35210FB}" name="% Change 1h"/>
    <tableColumn id="5" xr3:uid="{42EC66A8-C169-4956-B49E-785EF9430F23}" name="% Change 24h">
      <calculatedColumnFormula>D2 + (RAND()-0.5)/10</calculatedColumnFormula>
    </tableColumn>
    <tableColumn id="6" xr3:uid="{1D4EE6DF-C75F-4255-9048-0703AF85F9C5}" name="% Change 7d">
      <calculatedColumnFormula>D2 + (RAND()-0.5)/5</calculatedColumnFormula>
    </tableColumn>
    <tableColumn id="7" xr3:uid="{145706AF-ACFC-45AB-AA77-274C51C351D5}" name="Avg Downfall %">
      <calculatedColumnFormula>AVERAGE(D2,E2,F2)</calculatedColumnFormula>
    </tableColumn>
    <tableColumn id="8" xr3:uid="{7A0DD014-3536-4F85-BFB9-EEEE506627C1}" name="Price Range">
      <calculatedColumnFormula>IF(C2&lt;=0.05,"0-0.05",
IF(C2&lt;=0.5,"0.05-0.5",
IF(C2&lt;=5,"0.5-5",
IF(C2&lt;=50,"5-50","&gt;50"))))</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C8354EA-FA15-40D7-BFEF-88524C0DA693}" name="Table22" displayName="Table22" ref="A1:K201" totalsRowShown="0" headerRowDxfId="7">
  <autoFilter ref="A1:K201" xr:uid="{FC8354EA-FA15-40D7-BFEF-88524C0DA693}">
    <filterColumn colId="2">
      <customFilters and="1">
        <customFilter operator="greaterThanOrEqual" val="0"/>
        <customFilter operator="lessThanOrEqual" val="5"/>
      </customFilters>
    </filterColumn>
    <filterColumn colId="8">
      <customFilters>
        <customFilter operator="lessThanOrEqual" val="1000"/>
      </customFilters>
    </filterColumn>
  </autoFilter>
  <sortState xmlns:xlrd2="http://schemas.microsoft.com/office/spreadsheetml/2017/richdata2" ref="A4:K201">
    <sortCondition descending="1" ref="I1:I201"/>
  </sortState>
  <tableColumns count="11">
    <tableColumn id="1" xr3:uid="{58EFE2B5-F9E5-44BB-986B-EC4FDF41FCD6}" name="Coin Name"/>
    <tableColumn id="2" xr3:uid="{D315090C-DC3C-4662-A339-03A9656DDD4A}" name="Symbol"/>
    <tableColumn id="3" xr3:uid="{3092B50B-1C02-421F-8B79-E5BE8B0857BE}" name="Price"/>
    <tableColumn id="4" xr3:uid="{099BA9B5-1B52-4FCB-8F6F-F1F4DCD1C424}" name="% Change 1h"/>
    <tableColumn id="5" xr3:uid="{F3D59C84-BCC7-49E9-980A-FBAED0BCB124}" name="% Change 24h">
      <calculatedColumnFormula>D2 + (RAND()-0.5)/10</calculatedColumnFormula>
    </tableColumn>
    <tableColumn id="6" xr3:uid="{7B439663-6358-4C40-9A92-E367CB3545F3}" name="% Change 7d">
      <calculatedColumnFormula>D2 + (RAND()-0.5)/5</calculatedColumnFormula>
    </tableColumn>
    <tableColumn id="7" xr3:uid="{BA5B10D0-D318-4062-A70E-7DA57F445AE8}" name="Avg Downfall %">
      <calculatedColumnFormula>AVERAGE(D2,E2,F2)</calculatedColumnFormula>
    </tableColumn>
    <tableColumn id="8" xr3:uid="{DE5ACAD6-E78C-4A68-89C8-E1EEB58BD8D3}" name="Price Range">
      <calculatedColumnFormula>IF(C2&lt;=0.05,"0-0.05",
IF(C2&lt;=0.5,"0.05-0.5",
IF(C2&lt;=5,"0.5-5",
IF(C2&lt;=50,"5-50","&gt;50"))))</calculatedColumnFormula>
    </tableColumn>
    <tableColumn id="9" xr3:uid="{B1723D2E-0248-47F0-A63E-E8E709CA079B}" name="7d Before Price"/>
    <tableColumn id="10" xr3:uid="{1E874D70-C241-48E9-BFA7-84EABC5C2115}" name="24h Before Price"/>
    <tableColumn id="11" xr3:uid="{97D4FFD7-6F9F-48BB-B75B-E90E410CE18E}" name="1h Change (Number)"/>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291DC8-ED5E-4F50-A81F-22D36BF6F5A3}" name="Table24" displayName="Table24" ref="A1:L201" totalsRowShown="0" headerRowDxfId="6">
  <autoFilter ref="A1:L201" xr:uid="{2E291DC8-ED5E-4F50-A81F-22D36BF6F5A3}">
    <filterColumn colId="10">
      <filters>
        <filter val="&gt;=10"/>
      </filters>
    </filterColumn>
  </autoFilter>
  <sortState xmlns:xlrd2="http://schemas.microsoft.com/office/spreadsheetml/2017/richdata2" ref="A2:K201">
    <sortCondition descending="1" ref="J1:J201"/>
  </sortState>
  <tableColumns count="12">
    <tableColumn id="1" xr3:uid="{DB305DEA-6822-48EA-AF13-0D727393892A}" name="Coin Name"/>
    <tableColumn id="2" xr3:uid="{23514306-15E4-4A80-963D-4031B2573709}" name="Symbol"/>
    <tableColumn id="3" xr3:uid="{35656A50-E648-4197-AB08-3254B45D11C9}" name="Price"/>
    <tableColumn id="4" xr3:uid="{0DDB335D-5727-43CE-A291-2306EF78A73A}" name="% Change 1h"/>
    <tableColumn id="5" xr3:uid="{03E1D0DA-A8D7-4563-9A17-895F2C8108E0}" name="% Change 24h">
      <calculatedColumnFormula>D2 + (RAND()-0.5)/10</calculatedColumnFormula>
    </tableColumn>
    <tableColumn id="6" xr3:uid="{B7416117-BA7E-4634-B454-416D91660005}" name="% Change 7d">
      <calculatedColumnFormula>D2 + (RAND()-0.5)/5</calculatedColumnFormula>
    </tableColumn>
    <tableColumn id="7" xr3:uid="{64C42E64-7295-4E70-B0D7-20BFB497C64A}" name="Avg Downfall %">
      <calculatedColumnFormula>AVERAGE(D2,E2,F2)</calculatedColumnFormula>
    </tableColumn>
    <tableColumn id="8" xr3:uid="{84B019EE-D8C5-43C4-9C6D-C50984C0B30D}" name="Price Range">
      <calculatedColumnFormula>IF(C2&lt;=0.05,"0-0.05",
IF(C2&lt;=0.5,"0.05-0.5",
IF(C2&lt;=5,"0.5-5",
IF(C2&lt;=50,"5-50","&gt;50"))))</calculatedColumnFormula>
    </tableColumn>
    <tableColumn id="9" xr3:uid="{46A51EC5-91AD-47FC-A92D-9636F3AE78FE}" name="Prev 1h Price" dataDxfId="5">
      <calculatedColumnFormula>C2/(1+D2)</calculatedColumnFormula>
    </tableColumn>
    <tableColumn id="10" xr3:uid="{B283EFE3-72EB-4489-BEFF-508FB7B33D91}" name="Price Change" dataDxfId="4">
      <calculatedColumnFormula>C2-I2</calculatedColumnFormula>
    </tableColumn>
    <tableColumn id="11" xr3:uid="{C0C113B7-5235-49B3-AEE5-8CD53CE7EB87}" name="Price Range 2" dataDxfId="3">
      <calculatedColumnFormula>IF(C2&lt;=10,"&lt;=10","&gt;=10")</calculatedColumnFormula>
    </tableColumn>
    <tableColumn id="12" xr3:uid="{06A477ED-DA89-4D4E-A334-DA5F377B29D3}" name="Price Range 3" dataCellStyle="Percent">
      <calculatedColumnFormula>VALUE(D2)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table" Target="../tables/table3.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1AE2AF-A3CB-459A-94E0-F21502091D4A}">
  <sheetPr codeName="Sheet1"/>
  <dimension ref="A1:H201"/>
  <sheetViews>
    <sheetView workbookViewId="0">
      <selection activeCell="C1" sqref="C1:C1048576"/>
    </sheetView>
  </sheetViews>
  <sheetFormatPr defaultRowHeight="14.5" x14ac:dyDescent="0.35"/>
  <cols>
    <col min="1" max="1" width="11.90625" customWidth="1"/>
    <col min="2" max="2" width="8.90625" customWidth="1"/>
    <col min="3" max="3" width="10.81640625" bestFit="1" customWidth="1"/>
    <col min="4" max="4" width="13.453125" customWidth="1"/>
    <col min="5" max="5" width="14.453125" customWidth="1"/>
    <col min="6" max="6" width="13.453125" customWidth="1"/>
    <col min="7" max="7" width="15.6328125" customWidth="1"/>
    <col min="8" max="8" width="12.453125" customWidth="1"/>
  </cols>
  <sheetData>
    <row r="1" spans="1:8" x14ac:dyDescent="0.35">
      <c r="A1" s="1" t="s">
        <v>0</v>
      </c>
      <c r="B1" s="1" t="s">
        <v>1</v>
      </c>
      <c r="C1" s="1" t="s">
        <v>2</v>
      </c>
      <c r="D1" s="1" t="s">
        <v>3</v>
      </c>
      <c r="E1" s="1" t="s">
        <v>4</v>
      </c>
      <c r="F1" s="1" t="s">
        <v>5</v>
      </c>
      <c r="G1" s="1" t="s">
        <v>508</v>
      </c>
      <c r="H1" s="1" t="s">
        <v>509</v>
      </c>
    </row>
    <row r="2" spans="1:8" x14ac:dyDescent="0.35">
      <c r="A2" t="s">
        <v>6</v>
      </c>
      <c r="B2" t="s">
        <v>7</v>
      </c>
      <c r="C2" s="2">
        <v>104058.04</v>
      </c>
      <c r="D2" t="s">
        <v>8</v>
      </c>
      <c r="E2">
        <f ca="1">D2 + (RAND()-0.5)/10</f>
        <v>-1.9923171233006378E-2</v>
      </c>
      <c r="F2">
        <f ca="1">D2 + (RAND()-0.5)/5</f>
        <v>-4.7440056091189176E-2</v>
      </c>
      <c r="G2">
        <f ca="1">AVERAGE(D2,E2,F2)</f>
        <v>-3.3681613662097779E-2</v>
      </c>
      <c r="H2" t="str">
        <f>IF(C2&lt;=0.05,"0-0.05",
IF(C2&lt;=0.5,"0.05-0.5",
IF(C2&lt;=5,"0.5-5",
IF(C2&lt;=50,"5-50","&gt;50"))))</f>
        <v>&gt;50</v>
      </c>
    </row>
    <row r="3" spans="1:8" x14ac:dyDescent="0.35">
      <c r="A3" t="s">
        <v>9</v>
      </c>
      <c r="B3" t="s">
        <v>10</v>
      </c>
      <c r="C3" s="2">
        <v>2483.59</v>
      </c>
      <c r="D3" t="s">
        <v>11</v>
      </c>
      <c r="E3">
        <f t="shared" ref="E3:E66" ca="1" si="0">D3 + (RAND()-0.5)/10</f>
        <v>9.0202603547945674E-3</v>
      </c>
      <c r="F3">
        <f t="shared" ref="F3:F66" ca="1" si="1">D3 + (RAND()-0.5)/5</f>
        <v>-5.380824856092265E-3</v>
      </c>
      <c r="G3">
        <f t="shared" ref="G3:G66" ca="1" si="2">AVERAGE(D3,E3,F3)</f>
        <v>1.8197177493511512E-3</v>
      </c>
      <c r="H3" t="str">
        <f t="shared" ref="H3:H66" si="3">IF(C3&lt;=0.05,"0-0.05",
IF(C3&lt;=0.5,"0.05-0.5",
IF(C3&lt;=5,"0.5-5",
IF(C3&lt;=50,"5-50","&gt;50"))))</f>
        <v>&gt;50</v>
      </c>
    </row>
    <row r="4" spans="1:8" x14ac:dyDescent="0.35">
      <c r="A4" t="s">
        <v>12</v>
      </c>
      <c r="B4" t="s">
        <v>13</v>
      </c>
      <c r="C4">
        <v>0.99990000000000001</v>
      </c>
      <c r="D4" t="s">
        <v>14</v>
      </c>
      <c r="E4">
        <f t="shared" ca="1" si="0"/>
        <v>-3.2341094208080491E-2</v>
      </c>
      <c r="F4">
        <f t="shared" ca="1" si="1"/>
        <v>5.7132428107686484E-2</v>
      </c>
      <c r="G4">
        <f t="shared" ca="1" si="2"/>
        <v>1.2395666949802996E-2</v>
      </c>
      <c r="H4" t="str">
        <f t="shared" si="3"/>
        <v>0.5-5</v>
      </c>
    </row>
    <row r="5" spans="1:8" x14ac:dyDescent="0.35">
      <c r="A5" t="s">
        <v>15</v>
      </c>
      <c r="B5" t="s">
        <v>15</v>
      </c>
      <c r="C5">
        <v>2.12</v>
      </c>
      <c r="D5" t="s">
        <v>16</v>
      </c>
      <c r="E5">
        <f t="shared" ca="1" si="0"/>
        <v>4.8952156670581039E-2</v>
      </c>
      <c r="F5">
        <f t="shared" ca="1" si="1"/>
        <v>-5.1224927950763249E-2</v>
      </c>
      <c r="G5">
        <f t="shared" ca="1" si="2"/>
        <v>-1.1363856400911053E-3</v>
      </c>
      <c r="H5" t="str">
        <f t="shared" si="3"/>
        <v>0.5-5</v>
      </c>
    </row>
    <row r="6" spans="1:8" x14ac:dyDescent="0.35">
      <c r="A6" t="s">
        <v>17</v>
      </c>
      <c r="B6" t="s">
        <v>17</v>
      </c>
      <c r="C6">
        <v>644.79</v>
      </c>
      <c r="D6" t="s">
        <v>18</v>
      </c>
      <c r="E6">
        <f t="shared" ca="1" si="0"/>
        <v>2.1303109269360198E-2</v>
      </c>
      <c r="F6">
        <f t="shared" ca="1" si="1"/>
        <v>2.4425285391653562E-2</v>
      </c>
      <c r="G6">
        <f t="shared" ca="1" si="2"/>
        <v>2.2864197330506882E-2</v>
      </c>
      <c r="H6" t="str">
        <f t="shared" si="3"/>
        <v>&gt;50</v>
      </c>
    </row>
    <row r="7" spans="1:8" x14ac:dyDescent="0.35">
      <c r="A7" t="s">
        <v>19</v>
      </c>
      <c r="B7" t="s">
        <v>20</v>
      </c>
      <c r="C7">
        <v>142.66999999999999</v>
      </c>
      <c r="D7" t="s">
        <v>21</v>
      </c>
      <c r="E7">
        <f t="shared" ca="1" si="0"/>
        <v>1.0482297235665275E-2</v>
      </c>
      <c r="F7">
        <f t="shared" ca="1" si="1"/>
        <v>-8.0939016719842952E-2</v>
      </c>
      <c r="G7">
        <f t="shared" ca="1" si="2"/>
        <v>-3.5228359742088836E-2</v>
      </c>
      <c r="H7" t="str">
        <f t="shared" si="3"/>
        <v>&gt;50</v>
      </c>
    </row>
    <row r="8" spans="1:8" x14ac:dyDescent="0.35">
      <c r="A8" t="s">
        <v>22</v>
      </c>
      <c r="B8" t="s">
        <v>22</v>
      </c>
      <c r="C8">
        <v>0.99980000000000002</v>
      </c>
      <c r="D8" t="s">
        <v>23</v>
      </c>
      <c r="E8">
        <f t="shared" ca="1" si="0"/>
        <v>-2.6671952791510967E-2</v>
      </c>
      <c r="F8">
        <f t="shared" ca="1" si="1"/>
        <v>-2.2457010717220137E-2</v>
      </c>
      <c r="G8">
        <f t="shared" ca="1" si="2"/>
        <v>-2.4564481754365552E-2</v>
      </c>
      <c r="H8" t="str">
        <f t="shared" si="3"/>
        <v>0.5-5</v>
      </c>
    </row>
    <row r="9" spans="1:8" x14ac:dyDescent="0.35">
      <c r="A9" t="s">
        <v>24</v>
      </c>
      <c r="B9" t="s">
        <v>25</v>
      </c>
      <c r="C9">
        <v>0.27339999999999998</v>
      </c>
      <c r="D9" t="s">
        <v>26</v>
      </c>
      <c r="E9">
        <f t="shared" ca="1" si="0"/>
        <v>-4.2643511575405279E-3</v>
      </c>
      <c r="F9">
        <f t="shared" ca="1" si="1"/>
        <v>-3.4989979244724051E-2</v>
      </c>
      <c r="G9">
        <f t="shared" ca="1" si="2"/>
        <v>-1.962716520113229E-2</v>
      </c>
      <c r="H9" t="str">
        <f t="shared" si="3"/>
        <v>0.05-0.5</v>
      </c>
    </row>
    <row r="10" spans="1:8" x14ac:dyDescent="0.35">
      <c r="A10" t="s">
        <v>27</v>
      </c>
      <c r="B10" t="s">
        <v>28</v>
      </c>
      <c r="C10">
        <v>0.16539999999999999</v>
      </c>
      <c r="D10" t="s">
        <v>29</v>
      </c>
      <c r="E10">
        <f t="shared" ca="1" si="0"/>
        <v>-1.7443132258885663E-2</v>
      </c>
      <c r="F10">
        <f t="shared" ca="1" si="1"/>
        <v>-3.5083558672332378E-2</v>
      </c>
      <c r="G10">
        <f t="shared" ca="1" si="2"/>
        <v>-2.6263345465609021E-2</v>
      </c>
      <c r="H10" t="str">
        <f t="shared" si="3"/>
        <v>0.05-0.5</v>
      </c>
    </row>
    <row r="11" spans="1:8" x14ac:dyDescent="0.35">
      <c r="A11" t="s">
        <v>30</v>
      </c>
      <c r="B11" t="s">
        <v>31</v>
      </c>
      <c r="C11">
        <v>0.58079999999999998</v>
      </c>
      <c r="D11" t="s">
        <v>32</v>
      </c>
      <c r="E11">
        <f t="shared" ca="1" si="0"/>
        <v>3.5686780401995001E-2</v>
      </c>
      <c r="F11">
        <f t="shared" ca="1" si="1"/>
        <v>-6.3857897264448182E-2</v>
      </c>
      <c r="G11">
        <f t="shared" ca="1" si="2"/>
        <v>-1.4085558431226591E-2</v>
      </c>
      <c r="H11" t="str">
        <f t="shared" si="3"/>
        <v>0.5-5</v>
      </c>
    </row>
    <row r="12" spans="1:8" x14ac:dyDescent="0.35">
      <c r="A12" t="s">
        <v>33</v>
      </c>
      <c r="B12" t="s">
        <v>34</v>
      </c>
      <c r="C12">
        <v>9.0959999999999999E-3</v>
      </c>
      <c r="D12" t="s">
        <v>35</v>
      </c>
      <c r="E12">
        <f t="shared" ca="1" si="0"/>
        <v>4.9770262723744067E-3</v>
      </c>
      <c r="F12">
        <f t="shared" ca="1" si="1"/>
        <v>0.10747465244977371</v>
      </c>
      <c r="G12">
        <f t="shared" ca="1" si="2"/>
        <v>5.6225839361074059E-2</v>
      </c>
      <c r="H12" t="str">
        <f t="shared" si="3"/>
        <v>0-0.05</v>
      </c>
    </row>
    <row r="13" spans="1:8" x14ac:dyDescent="0.35">
      <c r="A13" t="s">
        <v>36</v>
      </c>
      <c r="B13" t="s">
        <v>37</v>
      </c>
      <c r="C13">
        <v>0.42049999999999998</v>
      </c>
      <c r="D13" t="s">
        <v>38</v>
      </c>
      <c r="E13">
        <f t="shared" ca="1" si="0"/>
        <v>-2.5308106465486618E-2</v>
      </c>
      <c r="F13">
        <f t="shared" ca="1" si="1"/>
        <v>1.6798431475176095E-2</v>
      </c>
      <c r="G13">
        <f t="shared" ca="1" si="2"/>
        <v>-4.2548374951552614E-3</v>
      </c>
      <c r="H13" t="str">
        <f t="shared" si="3"/>
        <v>0.05-0.5</v>
      </c>
    </row>
    <row r="14" spans="1:8" x14ac:dyDescent="0.35">
      <c r="A14" t="s">
        <v>39</v>
      </c>
      <c r="B14" t="s">
        <v>40</v>
      </c>
      <c r="C14">
        <v>2.06</v>
      </c>
      <c r="D14" t="s">
        <v>41</v>
      </c>
      <c r="E14">
        <f t="shared" ca="1" si="0"/>
        <v>3.4210449853978302E-2</v>
      </c>
      <c r="F14">
        <f t="shared" ca="1" si="1"/>
        <v>-5.3278749540042275E-2</v>
      </c>
      <c r="G14">
        <f t="shared" ca="1" si="2"/>
        <v>-9.5341498430319867E-3</v>
      </c>
      <c r="H14" t="str">
        <f t="shared" si="3"/>
        <v>0.5-5</v>
      </c>
    </row>
    <row r="15" spans="1:8" x14ac:dyDescent="0.35">
      <c r="A15" t="s">
        <v>42</v>
      </c>
      <c r="B15" t="s">
        <v>43</v>
      </c>
      <c r="C15">
        <v>0.54430000000000001</v>
      </c>
      <c r="D15" t="s">
        <v>44</v>
      </c>
      <c r="E15">
        <f t="shared" ca="1" si="0"/>
        <v>-3.248278493115259E-3</v>
      </c>
      <c r="F15">
        <f t="shared" ca="1" si="1"/>
        <v>-3.6442016290638021E-2</v>
      </c>
      <c r="G15">
        <f t="shared" ca="1" si="2"/>
        <v>-1.9845147391876639E-2</v>
      </c>
      <c r="H15" t="str">
        <f t="shared" si="3"/>
        <v>0.5-5</v>
      </c>
    </row>
    <row r="16" spans="1:8" x14ac:dyDescent="0.35">
      <c r="A16" t="s">
        <v>45</v>
      </c>
      <c r="B16" t="s">
        <v>46</v>
      </c>
      <c r="C16">
        <v>0.52070000000000005</v>
      </c>
      <c r="D16" t="s">
        <v>47</v>
      </c>
      <c r="E16">
        <f t="shared" ca="1" si="0"/>
        <v>1.8004297756233516E-2</v>
      </c>
      <c r="F16">
        <f t="shared" ca="1" si="1"/>
        <v>3.4229995128359156E-2</v>
      </c>
      <c r="G16">
        <f t="shared" ca="1" si="2"/>
        <v>2.6117146442296336E-2</v>
      </c>
      <c r="H16" t="str">
        <f t="shared" si="3"/>
        <v>0.5-5</v>
      </c>
    </row>
    <row r="17" spans="1:8" x14ac:dyDescent="0.35">
      <c r="A17" t="s">
        <v>48</v>
      </c>
      <c r="B17" t="s">
        <v>49</v>
      </c>
      <c r="C17">
        <v>9.4530000000000003E-2</v>
      </c>
      <c r="D17" t="s">
        <v>50</v>
      </c>
      <c r="E17">
        <f t="shared" ca="1" si="0"/>
        <v>-1.9028679996658592E-2</v>
      </c>
      <c r="F17">
        <f t="shared" ca="1" si="1"/>
        <v>-3.7984609221823548E-2</v>
      </c>
      <c r="G17">
        <f t="shared" ca="1" si="2"/>
        <v>-2.8506644609241072E-2</v>
      </c>
      <c r="H17" t="str">
        <f t="shared" si="3"/>
        <v>0.05-0.5</v>
      </c>
    </row>
    <row r="18" spans="1:8" x14ac:dyDescent="0.35">
      <c r="A18" t="s">
        <v>51</v>
      </c>
      <c r="B18" t="s">
        <v>52</v>
      </c>
      <c r="C18">
        <v>0.33939999999999998</v>
      </c>
      <c r="D18" t="s">
        <v>53</v>
      </c>
      <c r="E18">
        <f t="shared" ca="1" si="0"/>
        <v>4.3231200804460218E-2</v>
      </c>
      <c r="F18">
        <f t="shared" ca="1" si="1"/>
        <v>4.9240096004921401E-2</v>
      </c>
      <c r="G18">
        <f t="shared" ca="1" si="2"/>
        <v>4.6235648404690813E-2</v>
      </c>
      <c r="H18" t="str">
        <f t="shared" si="3"/>
        <v>0.05-0.5</v>
      </c>
    </row>
    <row r="19" spans="1:8" x14ac:dyDescent="0.35">
      <c r="A19" t="s">
        <v>54</v>
      </c>
      <c r="B19" t="s">
        <v>55</v>
      </c>
      <c r="C19">
        <v>0.46260000000000001</v>
      </c>
      <c r="D19" t="s">
        <v>56</v>
      </c>
      <c r="E19">
        <f t="shared" ca="1" si="0"/>
        <v>4.4670194063812868E-2</v>
      </c>
      <c r="F19">
        <f t="shared" ca="1" si="1"/>
        <v>-2.2814315926748471E-2</v>
      </c>
      <c r="G19">
        <f t="shared" ca="1" si="2"/>
        <v>1.0927939068532198E-2</v>
      </c>
      <c r="H19" t="str">
        <f t="shared" si="3"/>
        <v>0.05-0.5</v>
      </c>
    </row>
    <row r="20" spans="1:8" x14ac:dyDescent="0.35">
      <c r="A20" t="s">
        <v>57</v>
      </c>
      <c r="B20" t="s">
        <v>58</v>
      </c>
      <c r="C20">
        <v>0.2505</v>
      </c>
      <c r="D20" t="s">
        <v>59</v>
      </c>
      <c r="E20">
        <f t="shared" ca="1" si="0"/>
        <v>2.4028279582255008E-2</v>
      </c>
      <c r="F20">
        <f t="shared" ca="1" si="1"/>
        <v>7.1579305393431519E-2</v>
      </c>
      <c r="G20">
        <f t="shared" ca="1" si="2"/>
        <v>4.7803792487843264E-2</v>
      </c>
      <c r="H20" t="str">
        <f t="shared" si="3"/>
        <v>0.05-0.5</v>
      </c>
    </row>
    <row r="21" spans="1:8" x14ac:dyDescent="0.35">
      <c r="A21" t="s">
        <v>60</v>
      </c>
      <c r="B21" t="s">
        <v>61</v>
      </c>
      <c r="C21">
        <v>0.99760000000000004</v>
      </c>
      <c r="D21" t="s">
        <v>62</v>
      </c>
      <c r="E21">
        <f t="shared" ca="1" si="0"/>
        <v>5.3984808382703253E-3</v>
      </c>
      <c r="F21">
        <f t="shared" ca="1" si="1"/>
        <v>6.6298858323406221E-2</v>
      </c>
      <c r="G21">
        <f t="shared" ca="1" si="2"/>
        <v>3.5848669580838273E-2</v>
      </c>
      <c r="H21" t="str">
        <f t="shared" si="3"/>
        <v>0.5-5</v>
      </c>
    </row>
    <row r="22" spans="1:8" x14ac:dyDescent="0.35">
      <c r="A22" t="s">
        <v>63</v>
      </c>
      <c r="B22" t="s">
        <v>64</v>
      </c>
      <c r="C22">
        <v>4.45</v>
      </c>
      <c r="D22" t="s">
        <v>62</v>
      </c>
      <c r="E22">
        <f t="shared" ca="1" si="0"/>
        <v>-3.3778837479263933E-2</v>
      </c>
      <c r="F22">
        <f t="shared" ca="1" si="1"/>
        <v>5.4028214656251176E-2</v>
      </c>
      <c r="G22">
        <f t="shared" ca="1" si="2"/>
        <v>1.0124688588493622E-2</v>
      </c>
      <c r="H22" t="str">
        <f t="shared" si="3"/>
        <v>0.5-5</v>
      </c>
    </row>
    <row r="23" spans="1:8" x14ac:dyDescent="0.35">
      <c r="A23" t="s">
        <v>65</v>
      </c>
      <c r="B23" t="s">
        <v>66</v>
      </c>
      <c r="C23">
        <v>4.32</v>
      </c>
      <c r="D23" t="s">
        <v>67</v>
      </c>
      <c r="E23">
        <f t="shared" ca="1" si="0"/>
        <v>-1.967793476026022E-2</v>
      </c>
      <c r="F23">
        <f t="shared" ca="1" si="1"/>
        <v>8.5537557314082871E-2</v>
      </c>
      <c r="G23">
        <f t="shared" ca="1" si="2"/>
        <v>3.2929811276911324E-2</v>
      </c>
      <c r="H23" t="str">
        <f t="shared" si="3"/>
        <v>0.5-5</v>
      </c>
    </row>
    <row r="24" spans="1:8" x14ac:dyDescent="0.35">
      <c r="A24" t="s">
        <v>68</v>
      </c>
      <c r="B24" t="s">
        <v>69</v>
      </c>
      <c r="C24">
        <v>3.26</v>
      </c>
      <c r="D24" t="s">
        <v>70</v>
      </c>
      <c r="E24">
        <f t="shared" ca="1" si="0"/>
        <v>-3.371235335339352E-3</v>
      </c>
      <c r="F24">
        <f t="shared" ca="1" si="1"/>
        <v>-1.6687660932212411E-2</v>
      </c>
      <c r="G24">
        <f t="shared" ca="1" si="2"/>
        <v>-1.0029448133775883E-2</v>
      </c>
      <c r="H24" t="str">
        <f t="shared" si="3"/>
        <v>0.5-5</v>
      </c>
    </row>
    <row r="25" spans="1:8" x14ac:dyDescent="0.35">
      <c r="A25" t="s">
        <v>71</v>
      </c>
      <c r="B25" t="s">
        <v>72</v>
      </c>
      <c r="C25">
        <v>1.43</v>
      </c>
      <c r="D25" t="s">
        <v>73</v>
      </c>
      <c r="E25">
        <f t="shared" ca="1" si="0"/>
        <v>-2.3769641683328662E-2</v>
      </c>
      <c r="F25">
        <f t="shared" ca="1" si="1"/>
        <v>1.1956004659847247E-2</v>
      </c>
      <c r="G25">
        <f t="shared" ca="1" si="2"/>
        <v>-5.9068185117407074E-3</v>
      </c>
      <c r="H25" t="str">
        <f t="shared" si="3"/>
        <v>0.5-5</v>
      </c>
    </row>
    <row r="26" spans="1:8" x14ac:dyDescent="0.35">
      <c r="A26" t="s">
        <v>74</v>
      </c>
      <c r="B26" t="s">
        <v>75</v>
      </c>
      <c r="C26">
        <v>0.99770000000000003</v>
      </c>
      <c r="D26" t="s">
        <v>62</v>
      </c>
      <c r="E26">
        <f t="shared" ca="1" si="0"/>
        <v>4.6723132527419803E-2</v>
      </c>
      <c r="F26">
        <f t="shared" ca="1" si="1"/>
        <v>6.3552384304698936E-2</v>
      </c>
      <c r="G26">
        <f t="shared" ca="1" si="2"/>
        <v>5.513775841605937E-2</v>
      </c>
      <c r="H26" t="str">
        <f t="shared" si="3"/>
        <v>0.5-5</v>
      </c>
    </row>
    <row r="27" spans="1:8" x14ac:dyDescent="0.35">
      <c r="A27" t="s">
        <v>76</v>
      </c>
      <c r="B27" t="s">
        <v>77</v>
      </c>
      <c r="C27">
        <v>1.0900000000000001</v>
      </c>
      <c r="D27" t="s">
        <v>23</v>
      </c>
      <c r="E27">
        <f t="shared" ca="1" si="0"/>
        <v>-2.3857489575290866E-2</v>
      </c>
      <c r="F27">
        <f t="shared" ca="1" si="1"/>
        <v>9.5266769906722698E-2</v>
      </c>
      <c r="G27">
        <f t="shared" ca="1" si="2"/>
        <v>3.5704640165715916E-2</v>
      </c>
      <c r="H27" t="str">
        <f t="shared" si="3"/>
        <v>0.5-5</v>
      </c>
    </row>
    <row r="28" spans="1:8" x14ac:dyDescent="0.35">
      <c r="A28" t="s">
        <v>78</v>
      </c>
      <c r="B28" t="s">
        <v>79</v>
      </c>
      <c r="C28">
        <v>0.99970000000000003</v>
      </c>
      <c r="D28" t="s">
        <v>80</v>
      </c>
      <c r="E28">
        <f t="shared" ca="1" si="0"/>
        <v>2.4294121567089589E-2</v>
      </c>
      <c r="F28">
        <f t="shared" ca="1" si="1"/>
        <v>-3.6556310585760879E-2</v>
      </c>
      <c r="G28">
        <f t="shared" ca="1" si="2"/>
        <v>-6.131094509335645E-3</v>
      </c>
      <c r="H28" t="str">
        <f t="shared" si="3"/>
        <v>0.5-5</v>
      </c>
    </row>
    <row r="29" spans="1:8" x14ac:dyDescent="0.35">
      <c r="A29" t="s">
        <v>81</v>
      </c>
      <c r="B29" t="s">
        <v>82</v>
      </c>
      <c r="C29">
        <v>1.6469999999999999E-2</v>
      </c>
      <c r="D29" t="s">
        <v>73</v>
      </c>
      <c r="E29">
        <f t="shared" ca="1" si="0"/>
        <v>1.9669285148097865E-2</v>
      </c>
      <c r="F29">
        <f t="shared" ca="1" si="1"/>
        <v>9.9048871871364255E-2</v>
      </c>
      <c r="G29">
        <f t="shared" ca="1" si="2"/>
        <v>5.9359078509731059E-2</v>
      </c>
      <c r="H29" t="str">
        <f t="shared" si="3"/>
        <v>0-0.05</v>
      </c>
    </row>
    <row r="30" spans="1:8" x14ac:dyDescent="0.35">
      <c r="A30" t="s">
        <v>83</v>
      </c>
      <c r="B30" t="s">
        <v>84</v>
      </c>
      <c r="C30">
        <v>0.49459999999999998</v>
      </c>
      <c r="D30" t="s">
        <v>85</v>
      </c>
      <c r="E30">
        <f t="shared" ca="1" si="0"/>
        <v>3.7501391450205306E-2</v>
      </c>
      <c r="F30">
        <f t="shared" ca="1" si="1"/>
        <v>5.2117489362579122E-2</v>
      </c>
      <c r="G30">
        <f t="shared" ca="1" si="2"/>
        <v>4.4809440406392217E-2</v>
      </c>
      <c r="H30" t="str">
        <f t="shared" si="3"/>
        <v>0.05-0.5</v>
      </c>
    </row>
    <row r="31" spans="1:8" x14ac:dyDescent="0.35">
      <c r="A31" t="s">
        <v>86</v>
      </c>
      <c r="B31" t="s">
        <v>87</v>
      </c>
      <c r="C31">
        <v>7.3550000000000004E-4</v>
      </c>
      <c r="D31" t="s">
        <v>47</v>
      </c>
      <c r="E31">
        <f t="shared" ca="1" si="0"/>
        <v>3.7254450672464398E-2</v>
      </c>
      <c r="F31">
        <f t="shared" ca="1" si="1"/>
        <v>1.5996396767222816E-2</v>
      </c>
      <c r="G31">
        <f t="shared" ca="1" si="2"/>
        <v>2.6625423719843607E-2</v>
      </c>
      <c r="H31" t="str">
        <f t="shared" si="3"/>
        <v>0-0.05</v>
      </c>
    </row>
    <row r="32" spans="1:8" x14ac:dyDescent="0.35">
      <c r="A32" t="s">
        <v>88</v>
      </c>
      <c r="B32" t="s">
        <v>89</v>
      </c>
      <c r="C32">
        <v>0.1205</v>
      </c>
      <c r="D32" t="s">
        <v>90</v>
      </c>
      <c r="E32">
        <f t="shared" ca="1" si="0"/>
        <v>2.7991778824401539E-2</v>
      </c>
      <c r="F32">
        <f t="shared" ca="1" si="1"/>
        <v>4.6014199542988722E-2</v>
      </c>
      <c r="G32">
        <f t="shared" ca="1" si="2"/>
        <v>3.7002989183695129E-2</v>
      </c>
      <c r="H32" t="str">
        <f t="shared" si="3"/>
        <v>0.05-0.5</v>
      </c>
    </row>
    <row r="33" spans="1:8" x14ac:dyDescent="0.35">
      <c r="A33" t="s">
        <v>91</v>
      </c>
      <c r="B33" t="s">
        <v>92</v>
      </c>
      <c r="C33">
        <v>0.1336</v>
      </c>
      <c r="D33" t="s">
        <v>93</v>
      </c>
      <c r="E33">
        <f t="shared" ca="1" si="0"/>
        <v>2.970336859441821E-2</v>
      </c>
      <c r="F33">
        <f t="shared" ca="1" si="1"/>
        <v>3.7328608492279258E-2</v>
      </c>
      <c r="G33">
        <f t="shared" ca="1" si="2"/>
        <v>3.3515988543348738E-2</v>
      </c>
      <c r="H33" t="str">
        <f t="shared" si="3"/>
        <v>0.05-0.5</v>
      </c>
    </row>
    <row r="34" spans="1:8" x14ac:dyDescent="0.35">
      <c r="A34" t="s">
        <v>94</v>
      </c>
      <c r="B34" t="s">
        <v>95</v>
      </c>
      <c r="C34">
        <v>0.1043</v>
      </c>
      <c r="D34" t="s">
        <v>96</v>
      </c>
      <c r="E34">
        <f t="shared" ca="1" si="0"/>
        <v>7.7567996315214662E-3</v>
      </c>
      <c r="F34">
        <f t="shared" ca="1" si="1"/>
        <v>-7.094632996684197E-2</v>
      </c>
      <c r="G34">
        <f t="shared" ca="1" si="2"/>
        <v>-3.1594765167660251E-2</v>
      </c>
      <c r="H34" t="str">
        <f t="shared" si="3"/>
        <v>0.05-0.5</v>
      </c>
    </row>
    <row r="35" spans="1:8" x14ac:dyDescent="0.35">
      <c r="A35" t="s">
        <v>97</v>
      </c>
      <c r="B35" t="s">
        <v>97</v>
      </c>
      <c r="C35">
        <v>5.0279999999999998E-2</v>
      </c>
      <c r="D35" t="s">
        <v>98</v>
      </c>
      <c r="E35">
        <f t="shared" ca="1" si="0"/>
        <v>4.4677770613451288E-2</v>
      </c>
      <c r="F35">
        <f t="shared" ca="1" si="1"/>
        <v>5.4742406148761379E-3</v>
      </c>
      <c r="G35">
        <f t="shared" ca="1" si="2"/>
        <v>2.5076005614163711E-2</v>
      </c>
      <c r="H35" t="str">
        <f t="shared" si="3"/>
        <v>0.05-0.5</v>
      </c>
    </row>
    <row r="36" spans="1:8" x14ac:dyDescent="0.35">
      <c r="A36" t="s">
        <v>99</v>
      </c>
      <c r="B36" t="s">
        <v>100</v>
      </c>
      <c r="C36">
        <v>1.1480000000000001E-2</v>
      </c>
      <c r="D36" t="s">
        <v>101</v>
      </c>
      <c r="E36">
        <f t="shared" ca="1" si="0"/>
        <v>-8.0754969879979193E-3</v>
      </c>
      <c r="F36">
        <f t="shared" ca="1" si="1"/>
        <v>-8.399041082837326E-2</v>
      </c>
      <c r="G36">
        <f t="shared" ca="1" si="2"/>
        <v>-4.6032953908185591E-2</v>
      </c>
      <c r="H36" t="str">
        <f t="shared" si="3"/>
        <v>0-0.05</v>
      </c>
    </row>
    <row r="37" spans="1:8" x14ac:dyDescent="0.35">
      <c r="A37" t="s">
        <v>102</v>
      </c>
      <c r="B37" t="s">
        <v>103</v>
      </c>
      <c r="C37">
        <v>0.15359999999999999</v>
      </c>
      <c r="D37" t="s">
        <v>104</v>
      </c>
      <c r="E37">
        <f t="shared" ca="1" si="0"/>
        <v>3.2579371039580619E-2</v>
      </c>
      <c r="F37">
        <f t="shared" ca="1" si="1"/>
        <v>-3.8350380856761124E-2</v>
      </c>
      <c r="G37">
        <f t="shared" ca="1" si="2"/>
        <v>-2.8855049085902522E-3</v>
      </c>
      <c r="H37" t="str">
        <f t="shared" si="3"/>
        <v>0.05-0.5</v>
      </c>
    </row>
    <row r="38" spans="1:8" x14ac:dyDescent="0.35">
      <c r="A38" t="s">
        <v>105</v>
      </c>
      <c r="B38" t="s">
        <v>106</v>
      </c>
      <c r="C38">
        <v>0.16800000000000001</v>
      </c>
      <c r="D38" t="s">
        <v>107</v>
      </c>
      <c r="E38">
        <f t="shared" ca="1" si="0"/>
        <v>1.5537374584202132E-2</v>
      </c>
      <c r="F38">
        <f t="shared" ca="1" si="1"/>
        <v>6.3163883549648941E-2</v>
      </c>
      <c r="G38">
        <f t="shared" ca="1" si="2"/>
        <v>3.935062906692554E-2</v>
      </c>
      <c r="H38" t="str">
        <f t="shared" si="3"/>
        <v>0.05-0.5</v>
      </c>
    </row>
    <row r="39" spans="1:8" x14ac:dyDescent="0.35">
      <c r="A39" t="s">
        <v>108</v>
      </c>
      <c r="B39" t="s">
        <v>109</v>
      </c>
      <c r="C39">
        <v>0.1111</v>
      </c>
      <c r="D39" t="s">
        <v>110</v>
      </c>
      <c r="E39">
        <f t="shared" ca="1" si="0"/>
        <v>6.9691083029069399E-3</v>
      </c>
      <c r="F39">
        <f t="shared" ca="1" si="1"/>
        <v>9.0308088670488423E-2</v>
      </c>
      <c r="G39">
        <f t="shared" ca="1" si="2"/>
        <v>4.863859848669768E-2</v>
      </c>
      <c r="H39" t="str">
        <f t="shared" si="3"/>
        <v>0.05-0.5</v>
      </c>
    </row>
    <row r="40" spans="1:8" x14ac:dyDescent="0.35">
      <c r="A40" t="s">
        <v>111</v>
      </c>
      <c r="B40" t="s">
        <v>112</v>
      </c>
      <c r="C40">
        <v>0.1537</v>
      </c>
      <c r="D40" t="s">
        <v>113</v>
      </c>
      <c r="E40">
        <f t="shared" ca="1" si="0"/>
        <v>-4.0909286231227745E-3</v>
      </c>
      <c r="F40">
        <f t="shared" ca="1" si="1"/>
        <v>2.8868327968814842E-3</v>
      </c>
      <c r="G40">
        <f t="shared" ca="1" si="2"/>
        <v>-6.0204791312064515E-4</v>
      </c>
      <c r="H40" t="str">
        <f t="shared" si="3"/>
        <v>0.05-0.5</v>
      </c>
    </row>
    <row r="41" spans="1:8" x14ac:dyDescent="0.35">
      <c r="A41" t="s">
        <v>114</v>
      </c>
      <c r="B41" t="s">
        <v>115</v>
      </c>
      <c r="C41">
        <v>1.813E-2</v>
      </c>
      <c r="D41" t="s">
        <v>116</v>
      </c>
      <c r="E41">
        <f t="shared" ca="1" si="0"/>
        <v>1.7814231890490115E-2</v>
      </c>
      <c r="F41">
        <f t="shared" ca="1" si="1"/>
        <v>6.020065466320286E-2</v>
      </c>
      <c r="G41">
        <f t="shared" ca="1" si="2"/>
        <v>3.9007443276846486E-2</v>
      </c>
      <c r="H41" t="str">
        <f t="shared" si="3"/>
        <v>0-0.05</v>
      </c>
    </row>
    <row r="42" spans="1:8" x14ac:dyDescent="0.35">
      <c r="A42" t="s">
        <v>117</v>
      </c>
      <c r="B42" t="s">
        <v>118</v>
      </c>
      <c r="C42">
        <v>7.1980000000000002E-2</v>
      </c>
      <c r="D42" t="s">
        <v>90</v>
      </c>
      <c r="E42">
        <f t="shared" ca="1" si="0"/>
        <v>5.9340398527765729E-2</v>
      </c>
      <c r="F42">
        <f t="shared" ca="1" si="1"/>
        <v>-3.3111881023791239E-3</v>
      </c>
      <c r="G42">
        <f t="shared" ca="1" si="2"/>
        <v>2.8014605212693302E-2</v>
      </c>
      <c r="H42" t="str">
        <f t="shared" si="3"/>
        <v>0.05-0.5</v>
      </c>
    </row>
    <row r="43" spans="1:8" x14ac:dyDescent="0.35">
      <c r="A43" t="s">
        <v>119</v>
      </c>
      <c r="B43" t="s">
        <v>120</v>
      </c>
      <c r="C43">
        <v>0.73740000000000006</v>
      </c>
      <c r="D43" t="s">
        <v>121</v>
      </c>
      <c r="E43">
        <f t="shared" ca="1" si="0"/>
        <v>-3.0100866307074241E-2</v>
      </c>
      <c r="F43">
        <f t="shared" ca="1" si="1"/>
        <v>-1.1353772676409774E-2</v>
      </c>
      <c r="G43">
        <f t="shared" ca="1" si="2"/>
        <v>-2.0727319491742009E-2</v>
      </c>
      <c r="H43" t="str">
        <f t="shared" si="3"/>
        <v>0.5-5</v>
      </c>
    </row>
    <row r="44" spans="1:8" x14ac:dyDescent="0.35">
      <c r="A44" t="s">
        <v>122</v>
      </c>
      <c r="B44" t="s">
        <v>123</v>
      </c>
      <c r="C44">
        <v>1.5169999999999999E-3</v>
      </c>
      <c r="D44" t="s">
        <v>124</v>
      </c>
      <c r="E44">
        <f t="shared" ca="1" si="0"/>
        <v>5.3427205968230557E-2</v>
      </c>
      <c r="F44">
        <f t="shared" ca="1" si="1"/>
        <v>-9.3315843292886835E-3</v>
      </c>
      <c r="G44">
        <f t="shared" ca="1" si="2"/>
        <v>2.2047810819470937E-2</v>
      </c>
      <c r="H44" t="str">
        <f t="shared" si="3"/>
        <v>0-0.05</v>
      </c>
    </row>
    <row r="45" spans="1:8" x14ac:dyDescent="0.35">
      <c r="A45" t="s">
        <v>125</v>
      </c>
      <c r="B45" t="s">
        <v>126</v>
      </c>
      <c r="C45">
        <v>0.15379999999999999</v>
      </c>
      <c r="D45" t="s">
        <v>127</v>
      </c>
      <c r="E45">
        <f t="shared" ca="1" si="0"/>
        <v>3.1804775721087142E-2</v>
      </c>
      <c r="F45">
        <f t="shared" ca="1" si="1"/>
        <v>2.7104951419450525E-2</v>
      </c>
      <c r="G45">
        <f t="shared" ca="1" si="2"/>
        <v>2.9454863570268833E-2</v>
      </c>
      <c r="H45" t="str">
        <f t="shared" si="3"/>
        <v>0.05-0.5</v>
      </c>
    </row>
    <row r="46" spans="1:8" x14ac:dyDescent="0.35">
      <c r="A46" t="s">
        <v>128</v>
      </c>
      <c r="B46" t="s">
        <v>129</v>
      </c>
      <c r="C46">
        <v>1.5440000000000001E-2</v>
      </c>
      <c r="D46" t="s">
        <v>130</v>
      </c>
      <c r="E46">
        <f t="shared" ca="1" si="0"/>
        <v>-3.7226328257503584E-2</v>
      </c>
      <c r="F46">
        <f t="shared" ca="1" si="1"/>
        <v>6.890416850266505E-2</v>
      </c>
      <c r="G46">
        <f t="shared" ca="1" si="2"/>
        <v>1.5838920122580733E-2</v>
      </c>
      <c r="H46" t="str">
        <f t="shared" si="3"/>
        <v>0-0.05</v>
      </c>
    </row>
    <row r="47" spans="1:8" x14ac:dyDescent="0.35">
      <c r="A47" t="s">
        <v>131</v>
      </c>
      <c r="B47" t="s">
        <v>132</v>
      </c>
      <c r="C47">
        <v>9.5740000000000006E-2</v>
      </c>
      <c r="D47" t="s">
        <v>133</v>
      </c>
      <c r="E47">
        <f t="shared" ca="1" si="0"/>
        <v>5.8239388180506051E-2</v>
      </c>
      <c r="F47">
        <f t="shared" ca="1" si="1"/>
        <v>6.809885114203576E-2</v>
      </c>
      <c r="G47">
        <f t="shared" ca="1" si="2"/>
        <v>6.3169119661270909E-2</v>
      </c>
      <c r="H47" t="str">
        <f t="shared" si="3"/>
        <v>0.05-0.5</v>
      </c>
    </row>
    <row r="48" spans="1:8" x14ac:dyDescent="0.35">
      <c r="A48" t="s">
        <v>134</v>
      </c>
      <c r="B48" t="s">
        <v>135</v>
      </c>
      <c r="C48">
        <v>3.2290000000000001E-3</v>
      </c>
      <c r="D48" t="s">
        <v>136</v>
      </c>
      <c r="E48">
        <f t="shared" ca="1" si="0"/>
        <v>-5.4713559128756056E-3</v>
      </c>
      <c r="F48">
        <f t="shared" ca="1" si="1"/>
        <v>-4.2745069757514E-2</v>
      </c>
      <c r="G48">
        <f t="shared" ca="1" si="2"/>
        <v>-2.4108212835194803E-2</v>
      </c>
      <c r="H48" t="str">
        <f t="shared" si="3"/>
        <v>0-0.05</v>
      </c>
    </row>
    <row r="49" spans="1:8" x14ac:dyDescent="0.35">
      <c r="A49" t="s">
        <v>137</v>
      </c>
      <c r="B49" t="s">
        <v>138</v>
      </c>
      <c r="C49">
        <v>7.8759999999999997E-2</v>
      </c>
      <c r="D49" t="s">
        <v>139</v>
      </c>
      <c r="E49">
        <f t="shared" ca="1" si="0"/>
        <v>-8.4398357552096376E-3</v>
      </c>
      <c r="F49">
        <f t="shared" ca="1" si="1"/>
        <v>6.0733650508881923E-2</v>
      </c>
      <c r="G49">
        <f t="shared" ca="1" si="2"/>
        <v>2.6146907376836143E-2</v>
      </c>
      <c r="H49" t="str">
        <f t="shared" si="3"/>
        <v>0.05-0.5</v>
      </c>
    </row>
    <row r="50" spans="1:8" x14ac:dyDescent="0.35">
      <c r="A50" t="s">
        <v>140</v>
      </c>
      <c r="B50" t="s">
        <v>141</v>
      </c>
      <c r="C50">
        <v>4.2049999999999997E-2</v>
      </c>
      <c r="D50" t="s">
        <v>142</v>
      </c>
      <c r="E50">
        <f t="shared" ca="1" si="0"/>
        <v>-2.2117564478800252E-2</v>
      </c>
      <c r="F50">
        <f t="shared" ca="1" si="1"/>
        <v>-2.9832448703878241E-2</v>
      </c>
      <c r="G50">
        <f t="shared" ca="1" si="2"/>
        <v>-2.5975006591339247E-2</v>
      </c>
      <c r="H50" t="str">
        <f t="shared" si="3"/>
        <v>0-0.05</v>
      </c>
    </row>
    <row r="51" spans="1:8" x14ac:dyDescent="0.35">
      <c r="A51" t="s">
        <v>143</v>
      </c>
      <c r="B51" t="s">
        <v>144</v>
      </c>
      <c r="C51">
        <v>5.9470000000000002E-2</v>
      </c>
      <c r="D51" t="s">
        <v>145</v>
      </c>
      <c r="E51">
        <f t="shared" ca="1" si="0"/>
        <v>6.857601529274835E-4</v>
      </c>
      <c r="F51">
        <f t="shared" ca="1" si="1"/>
        <v>-4.5668993720997177E-2</v>
      </c>
      <c r="G51">
        <f t="shared" ca="1" si="2"/>
        <v>-2.2491616784034846E-2</v>
      </c>
      <c r="H51" t="str">
        <f t="shared" si="3"/>
        <v>0.05-0.5</v>
      </c>
    </row>
    <row r="52" spans="1:8" x14ac:dyDescent="0.35">
      <c r="A52" t="s">
        <v>146</v>
      </c>
      <c r="B52" t="s">
        <v>147</v>
      </c>
      <c r="C52">
        <v>6.2719999999999998E-3</v>
      </c>
      <c r="D52" t="s">
        <v>148</v>
      </c>
      <c r="E52">
        <f t="shared" ca="1" si="0"/>
        <v>3.0535394344519001E-2</v>
      </c>
      <c r="F52">
        <f t="shared" ca="1" si="1"/>
        <v>7.4974284911093647E-2</v>
      </c>
      <c r="G52">
        <f t="shared" ca="1" si="2"/>
        <v>5.2754839627806326E-2</v>
      </c>
      <c r="H52" t="str">
        <f t="shared" si="3"/>
        <v>0-0.05</v>
      </c>
    </row>
    <row r="53" spans="1:8" x14ac:dyDescent="0.35">
      <c r="A53" t="s">
        <v>149</v>
      </c>
      <c r="B53" t="s">
        <v>150</v>
      </c>
      <c r="C53">
        <v>6.6350000000000003E-3</v>
      </c>
      <c r="D53" t="s">
        <v>151</v>
      </c>
      <c r="E53">
        <f t="shared" ca="1" si="0"/>
        <v>5.5881907809645373E-2</v>
      </c>
      <c r="F53">
        <f t="shared" ca="1" si="1"/>
        <v>8.4359899203765628E-3</v>
      </c>
      <c r="G53">
        <f t="shared" ca="1" si="2"/>
        <v>3.2158948865010965E-2</v>
      </c>
      <c r="H53" t="str">
        <f t="shared" si="3"/>
        <v>0-0.05</v>
      </c>
    </row>
    <row r="54" spans="1:8" x14ac:dyDescent="0.35">
      <c r="A54" t="s">
        <v>152</v>
      </c>
      <c r="B54" t="s">
        <v>153</v>
      </c>
      <c r="C54">
        <v>1.1769999999999999E-2</v>
      </c>
      <c r="D54" t="s">
        <v>154</v>
      </c>
      <c r="E54">
        <f t="shared" ca="1" si="0"/>
        <v>-2.1203566927435826E-2</v>
      </c>
      <c r="F54">
        <f t="shared" ca="1" si="1"/>
        <v>9.1600041936841292E-2</v>
      </c>
      <c r="G54">
        <f t="shared" ca="1" si="2"/>
        <v>3.5198237504702731E-2</v>
      </c>
      <c r="H54" t="str">
        <f t="shared" si="3"/>
        <v>0-0.05</v>
      </c>
    </row>
    <row r="55" spans="1:8" x14ac:dyDescent="0.35">
      <c r="A55" t="s">
        <v>155</v>
      </c>
      <c r="B55" t="s">
        <v>156</v>
      </c>
      <c r="C55">
        <v>1.253E-3</v>
      </c>
      <c r="D55" t="s">
        <v>157</v>
      </c>
      <c r="E55">
        <f t="shared" ca="1" si="0"/>
        <v>-1.6189889780056269E-2</v>
      </c>
      <c r="F55">
        <f t="shared" ca="1" si="1"/>
        <v>0.10197386049819444</v>
      </c>
      <c r="G55">
        <f t="shared" ca="1" si="2"/>
        <v>4.2891985359069087E-2</v>
      </c>
      <c r="H55" t="str">
        <f t="shared" si="3"/>
        <v>0-0.05</v>
      </c>
    </row>
    <row r="56" spans="1:8" x14ac:dyDescent="0.35">
      <c r="A56" t="s">
        <v>158</v>
      </c>
      <c r="B56" t="s">
        <v>159</v>
      </c>
      <c r="C56">
        <v>8.6260000000000003E-2</v>
      </c>
      <c r="D56" t="s">
        <v>160</v>
      </c>
      <c r="E56">
        <f t="shared" ca="1" si="0"/>
        <v>-1.3885314731426388E-2</v>
      </c>
      <c r="F56">
        <f t="shared" ca="1" si="1"/>
        <v>-1.2268209606223355E-2</v>
      </c>
      <c r="G56">
        <f t="shared" ca="1" si="2"/>
        <v>-1.3076762168824871E-2</v>
      </c>
      <c r="H56" t="str">
        <f t="shared" si="3"/>
        <v>0.05-0.5</v>
      </c>
    </row>
    <row r="57" spans="1:8" x14ac:dyDescent="0.35">
      <c r="A57" t="s">
        <v>161</v>
      </c>
      <c r="B57" t="s">
        <v>162</v>
      </c>
      <c r="C57">
        <v>1.1499999999999999</v>
      </c>
      <c r="D57" t="s">
        <v>163</v>
      </c>
      <c r="E57">
        <f t="shared" ca="1" si="0"/>
        <v>2.2116946453382191E-2</v>
      </c>
      <c r="F57">
        <f t="shared" ca="1" si="1"/>
        <v>-4.8406363975084986E-2</v>
      </c>
      <c r="G57">
        <f t="shared" ca="1" si="2"/>
        <v>-1.3144708760851397E-2</v>
      </c>
      <c r="H57" t="str">
        <f t="shared" si="3"/>
        <v>0.5-5</v>
      </c>
    </row>
    <row r="58" spans="1:8" x14ac:dyDescent="0.35">
      <c r="A58" t="s">
        <v>164</v>
      </c>
      <c r="B58" t="s">
        <v>165</v>
      </c>
      <c r="C58">
        <v>5.1249999999999999E-5</v>
      </c>
      <c r="D58" t="s">
        <v>166</v>
      </c>
      <c r="E58">
        <f t="shared" ca="1" si="0"/>
        <v>3.0354250594859317E-2</v>
      </c>
      <c r="F58">
        <f t="shared" ca="1" si="1"/>
        <v>-3.1076590778290138E-2</v>
      </c>
      <c r="G58">
        <f t="shared" ca="1" si="2"/>
        <v>-3.6117009171541051E-4</v>
      </c>
      <c r="H58" t="str">
        <f t="shared" si="3"/>
        <v>0-0.05</v>
      </c>
    </row>
    <row r="59" spans="1:8" x14ac:dyDescent="0.35">
      <c r="A59" t="s">
        <v>167</v>
      </c>
      <c r="B59" t="s">
        <v>168</v>
      </c>
      <c r="C59">
        <v>2.875E-3</v>
      </c>
      <c r="D59" t="s">
        <v>67</v>
      </c>
      <c r="E59">
        <f t="shared" ca="1" si="0"/>
        <v>-6.8328003719445732E-3</v>
      </c>
      <c r="F59">
        <f t="shared" ca="1" si="1"/>
        <v>2.6509595679413165E-2</v>
      </c>
      <c r="G59">
        <f t="shared" ca="1" si="2"/>
        <v>9.8383976537342963E-3</v>
      </c>
      <c r="H59" t="str">
        <f t="shared" si="3"/>
        <v>0-0.05</v>
      </c>
    </row>
    <row r="60" spans="1:8" x14ac:dyDescent="0.35">
      <c r="A60" t="s">
        <v>169</v>
      </c>
      <c r="B60" t="s">
        <v>170</v>
      </c>
      <c r="C60">
        <v>9.67</v>
      </c>
      <c r="D60" t="s">
        <v>18</v>
      </c>
      <c r="E60">
        <f t="shared" ca="1" si="0"/>
        <v>-3.1279041313540146E-2</v>
      </c>
      <c r="F60">
        <f t="shared" ca="1" si="1"/>
        <v>6.8736731017416276E-3</v>
      </c>
      <c r="G60">
        <f t="shared" ca="1" si="2"/>
        <v>-1.220268410589926E-2</v>
      </c>
      <c r="H60" t="str">
        <f t="shared" si="3"/>
        <v>5-50</v>
      </c>
    </row>
    <row r="61" spans="1:8" x14ac:dyDescent="0.35">
      <c r="A61" t="s">
        <v>171</v>
      </c>
      <c r="B61" t="s">
        <v>172</v>
      </c>
      <c r="C61">
        <v>90.45</v>
      </c>
      <c r="D61" t="s">
        <v>173</v>
      </c>
      <c r="E61">
        <f t="shared" ca="1" si="0"/>
        <v>3.9513886560081556E-2</v>
      </c>
      <c r="F61">
        <f t="shared" ca="1" si="1"/>
        <v>0.10400553205350194</v>
      </c>
      <c r="G61">
        <f t="shared" ca="1" si="2"/>
        <v>7.175970930679175E-2</v>
      </c>
      <c r="H61" t="str">
        <f t="shared" si="3"/>
        <v>&gt;50</v>
      </c>
    </row>
    <row r="62" spans="1:8" x14ac:dyDescent="0.35">
      <c r="A62" t="s">
        <v>174</v>
      </c>
      <c r="B62" t="s">
        <v>175</v>
      </c>
      <c r="C62">
        <v>0.30309999999999998</v>
      </c>
      <c r="D62" t="s">
        <v>176</v>
      </c>
      <c r="E62">
        <f t="shared" ca="1" si="0"/>
        <v>-2.4600912456114118E-2</v>
      </c>
      <c r="F62">
        <f t="shared" ca="1" si="1"/>
        <v>4.4101281001147075E-2</v>
      </c>
      <c r="G62">
        <f t="shared" ca="1" si="2"/>
        <v>9.7501842725164784E-3</v>
      </c>
      <c r="H62" t="str">
        <f t="shared" si="3"/>
        <v>0.05-0.5</v>
      </c>
    </row>
    <row r="63" spans="1:8" x14ac:dyDescent="0.35">
      <c r="A63" t="s">
        <v>177</v>
      </c>
      <c r="B63" t="s">
        <v>178</v>
      </c>
      <c r="C63">
        <v>1.26</v>
      </c>
      <c r="D63" t="s">
        <v>179</v>
      </c>
      <c r="E63">
        <f t="shared" ca="1" si="0"/>
        <v>3.2813099104600812E-2</v>
      </c>
      <c r="F63">
        <f t="shared" ca="1" si="1"/>
        <v>-1.1196107077577113E-2</v>
      </c>
      <c r="G63">
        <f t="shared" ca="1" si="2"/>
        <v>1.0808496013511849E-2</v>
      </c>
      <c r="H63" t="str">
        <f t="shared" si="3"/>
        <v>0.5-5</v>
      </c>
    </row>
    <row r="64" spans="1:8" x14ac:dyDescent="0.35">
      <c r="A64" t="s">
        <v>180</v>
      </c>
      <c r="B64" t="s">
        <v>181</v>
      </c>
      <c r="C64">
        <v>0.53610000000000002</v>
      </c>
      <c r="D64" t="s">
        <v>182</v>
      </c>
      <c r="E64">
        <f t="shared" ca="1" si="0"/>
        <v>2.5582946315840092E-2</v>
      </c>
      <c r="F64">
        <f t="shared" ca="1" si="1"/>
        <v>-4.5903495245242211E-2</v>
      </c>
      <c r="G64">
        <f t="shared" ca="1" si="2"/>
        <v>-1.0160274464701059E-2</v>
      </c>
      <c r="H64" t="str">
        <f t="shared" si="3"/>
        <v>0.5-5</v>
      </c>
    </row>
    <row r="65" spans="1:8" x14ac:dyDescent="0.35">
      <c r="A65" t="s">
        <v>183</v>
      </c>
      <c r="B65" t="s">
        <v>184</v>
      </c>
      <c r="C65">
        <v>1.245E-3</v>
      </c>
      <c r="D65" t="s">
        <v>185</v>
      </c>
      <c r="E65">
        <f t="shared" ca="1" si="0"/>
        <v>-6.2332498006075453E-3</v>
      </c>
      <c r="F65">
        <f t="shared" ca="1" si="1"/>
        <v>1.3320604405907411E-3</v>
      </c>
      <c r="G65">
        <f t="shared" ca="1" si="2"/>
        <v>-2.450594680008402E-3</v>
      </c>
      <c r="H65" t="str">
        <f t="shared" si="3"/>
        <v>0-0.05</v>
      </c>
    </row>
    <row r="66" spans="1:8" x14ac:dyDescent="0.35">
      <c r="A66" t="s">
        <v>186</v>
      </c>
      <c r="B66" t="s">
        <v>187</v>
      </c>
      <c r="C66">
        <v>1.4970000000000001E-2</v>
      </c>
      <c r="D66" t="s">
        <v>14</v>
      </c>
      <c r="E66">
        <f t="shared" ca="1" si="0"/>
        <v>-3.5373533093750499E-2</v>
      </c>
      <c r="F66">
        <f t="shared" ca="1" si="1"/>
        <v>-8.5590143896398477E-2</v>
      </c>
      <c r="G66">
        <f t="shared" ca="1" si="2"/>
        <v>-6.0481838495074491E-2</v>
      </c>
      <c r="H66" t="str">
        <f t="shared" si="3"/>
        <v>0-0.05</v>
      </c>
    </row>
    <row r="67" spans="1:8" x14ac:dyDescent="0.35">
      <c r="A67" t="s">
        <v>188</v>
      </c>
      <c r="B67" t="s">
        <v>189</v>
      </c>
      <c r="C67">
        <v>2.13</v>
      </c>
      <c r="D67" t="s">
        <v>190</v>
      </c>
      <c r="E67">
        <f t="shared" ref="E67:E130" ca="1" si="4">D67 + (RAND()-0.5)/10</f>
        <v>3.5417204630602231E-2</v>
      </c>
      <c r="F67">
        <f t="shared" ref="F67:F130" ca="1" si="5">D67 + (RAND()-0.5)/5</f>
        <v>-1.7203246183692966E-2</v>
      </c>
      <c r="G67">
        <f t="shared" ref="G67:G130" ca="1" si="6">AVERAGE(D67,E67,F67)</f>
        <v>9.1069792234546327E-3</v>
      </c>
      <c r="H67" t="str">
        <f t="shared" ref="H67:H130" si="7">IF(C67&lt;=0.05,"0-0.05",
IF(C67&lt;=0.5,"0.05-0.5",
IF(C67&lt;=5,"0.5-5",
IF(C67&lt;=50,"5-50","&gt;50"))))</f>
        <v>0.5-5</v>
      </c>
    </row>
    <row r="68" spans="1:8" x14ac:dyDescent="0.35">
      <c r="A68" t="s">
        <v>191</v>
      </c>
      <c r="B68" t="s">
        <v>192</v>
      </c>
      <c r="C68">
        <v>2.5299999999999998</v>
      </c>
      <c r="D68" t="s">
        <v>193</v>
      </c>
      <c r="E68">
        <f t="shared" ca="1" si="4"/>
        <v>-2.3398453342442397E-2</v>
      </c>
      <c r="F68">
        <f t="shared" ca="1" si="5"/>
        <v>-6.8885088349830134E-2</v>
      </c>
      <c r="G68">
        <f t="shared" ca="1" si="6"/>
        <v>-4.6141770846136264E-2</v>
      </c>
      <c r="H68" t="str">
        <f t="shared" si="7"/>
        <v>0.5-5</v>
      </c>
    </row>
    <row r="69" spans="1:8" x14ac:dyDescent="0.35">
      <c r="A69" t="s">
        <v>194</v>
      </c>
      <c r="B69" t="s">
        <v>195</v>
      </c>
      <c r="C69">
        <v>2.1000000000000001E-2</v>
      </c>
      <c r="D69" t="s">
        <v>196</v>
      </c>
      <c r="E69">
        <f t="shared" ca="1" si="4"/>
        <v>4.8525495770229202E-2</v>
      </c>
      <c r="F69">
        <f t="shared" ca="1" si="5"/>
        <v>8.856782276125591E-2</v>
      </c>
      <c r="G69">
        <f t="shared" ca="1" si="6"/>
        <v>6.8546659265742549E-2</v>
      </c>
      <c r="H69" t="str">
        <f t="shared" si="7"/>
        <v>0-0.05</v>
      </c>
    </row>
    <row r="70" spans="1:8" x14ac:dyDescent="0.35">
      <c r="A70" t="s">
        <v>197</v>
      </c>
      <c r="B70" t="s">
        <v>198</v>
      </c>
      <c r="C70">
        <v>0.2442</v>
      </c>
      <c r="D70" t="s">
        <v>93</v>
      </c>
      <c r="E70">
        <f t="shared" ca="1" si="4"/>
        <v>1.3927159697300736E-2</v>
      </c>
      <c r="F70">
        <f t="shared" ca="1" si="5"/>
        <v>-8.5073022196939074E-2</v>
      </c>
      <c r="G70">
        <f t="shared" ca="1" si="6"/>
        <v>-3.5572931249819167E-2</v>
      </c>
      <c r="H70" t="str">
        <f t="shared" si="7"/>
        <v>0.05-0.5</v>
      </c>
    </row>
    <row r="71" spans="1:8" x14ac:dyDescent="0.35">
      <c r="A71" t="s">
        <v>199</v>
      </c>
      <c r="B71" t="s">
        <v>200</v>
      </c>
      <c r="C71">
        <v>0.33879999999999999</v>
      </c>
      <c r="D71" t="s">
        <v>121</v>
      </c>
      <c r="E71">
        <f t="shared" ca="1" si="4"/>
        <v>3.8878114137795849E-2</v>
      </c>
      <c r="F71">
        <f t="shared" ca="1" si="5"/>
        <v>-8.8325233072700654E-2</v>
      </c>
      <c r="G71">
        <f t="shared" ca="1" si="6"/>
        <v>-2.4723559467452402E-2</v>
      </c>
      <c r="H71" t="str">
        <f t="shared" si="7"/>
        <v>0.05-0.5</v>
      </c>
    </row>
    <row r="72" spans="1:8" x14ac:dyDescent="0.35">
      <c r="A72" t="s">
        <v>201</v>
      </c>
      <c r="B72" t="s">
        <v>202</v>
      </c>
      <c r="C72">
        <v>0.29930000000000001</v>
      </c>
      <c r="D72" t="s">
        <v>203</v>
      </c>
      <c r="E72">
        <f t="shared" ca="1" si="4"/>
        <v>-2.5665074240325013E-2</v>
      </c>
      <c r="F72">
        <f t="shared" ca="1" si="5"/>
        <v>7.8640486998039882E-2</v>
      </c>
      <c r="G72">
        <f t="shared" ca="1" si="6"/>
        <v>2.6487706378857435E-2</v>
      </c>
      <c r="H72" t="str">
        <f t="shared" si="7"/>
        <v>0.05-0.5</v>
      </c>
    </row>
    <row r="73" spans="1:8" x14ac:dyDescent="0.35">
      <c r="A73" t="s">
        <v>204</v>
      </c>
      <c r="B73" t="s">
        <v>205</v>
      </c>
      <c r="C73">
        <v>0.1401</v>
      </c>
      <c r="D73" t="s">
        <v>206</v>
      </c>
      <c r="E73">
        <f t="shared" ca="1" si="4"/>
        <v>1.0864784167735893E-2</v>
      </c>
      <c r="F73">
        <f t="shared" ca="1" si="5"/>
        <v>8.2169130680793429E-2</v>
      </c>
      <c r="G73">
        <f t="shared" ca="1" si="6"/>
        <v>4.6516957424264663E-2</v>
      </c>
      <c r="H73" t="str">
        <f t="shared" si="7"/>
        <v>0.05-0.5</v>
      </c>
    </row>
    <row r="74" spans="1:8" x14ac:dyDescent="0.35">
      <c r="A74" t="s">
        <v>207</v>
      </c>
      <c r="B74" t="s">
        <v>208</v>
      </c>
      <c r="C74">
        <v>0.12790000000000001</v>
      </c>
      <c r="D74" t="s">
        <v>11</v>
      </c>
      <c r="E74">
        <f t="shared" ca="1" si="4"/>
        <v>-1.0333757373995774E-2</v>
      </c>
      <c r="F74">
        <f t="shared" ca="1" si="5"/>
        <v>5.5377695638215013E-2</v>
      </c>
      <c r="G74">
        <f t="shared" ca="1" si="6"/>
        <v>2.2521969132109618E-2</v>
      </c>
      <c r="H74" t="str">
        <f t="shared" si="7"/>
        <v>0.05-0.5</v>
      </c>
    </row>
    <row r="75" spans="1:8" x14ac:dyDescent="0.35">
      <c r="A75" t="s">
        <v>209</v>
      </c>
      <c r="B75" t="s">
        <v>210</v>
      </c>
      <c r="C75">
        <v>0.5232</v>
      </c>
      <c r="D75" t="s">
        <v>211</v>
      </c>
      <c r="E75">
        <f t="shared" ca="1" si="4"/>
        <v>4.3075312607457256E-2</v>
      </c>
      <c r="F75">
        <f t="shared" ca="1" si="5"/>
        <v>-2.053255309656422E-2</v>
      </c>
      <c r="G75">
        <f t="shared" ca="1" si="6"/>
        <v>1.1271379755446518E-2</v>
      </c>
      <c r="H75" t="str">
        <f t="shared" si="7"/>
        <v>0.5-5</v>
      </c>
    </row>
    <row r="76" spans="1:8" x14ac:dyDescent="0.35">
      <c r="A76" t="s">
        <v>212</v>
      </c>
      <c r="B76" t="s">
        <v>213</v>
      </c>
      <c r="C76">
        <v>3.9259999999999998E-3</v>
      </c>
      <c r="D76" t="s">
        <v>29</v>
      </c>
      <c r="E76">
        <f t="shared" ca="1" si="4"/>
        <v>4.0164446127250064E-2</v>
      </c>
      <c r="F76">
        <f t="shared" ca="1" si="5"/>
        <v>3.5630592640170891E-2</v>
      </c>
      <c r="G76">
        <f t="shared" ca="1" si="6"/>
        <v>3.7897519383710478E-2</v>
      </c>
      <c r="H76" t="str">
        <f t="shared" si="7"/>
        <v>0-0.05</v>
      </c>
    </row>
    <row r="77" spans="1:8" x14ac:dyDescent="0.35">
      <c r="A77" t="s">
        <v>214</v>
      </c>
      <c r="B77" t="s">
        <v>215</v>
      </c>
      <c r="C77">
        <v>5.6509999999999998E-2</v>
      </c>
      <c r="D77" t="s">
        <v>216</v>
      </c>
      <c r="E77">
        <f t="shared" ca="1" si="4"/>
        <v>3.4959706086877491E-2</v>
      </c>
      <c r="F77">
        <f t="shared" ca="1" si="5"/>
        <v>-3.1882906616151244E-2</v>
      </c>
      <c r="G77">
        <f t="shared" ca="1" si="6"/>
        <v>1.5383997353631239E-3</v>
      </c>
      <c r="H77" t="str">
        <f t="shared" si="7"/>
        <v>0.05-0.5</v>
      </c>
    </row>
    <row r="78" spans="1:8" x14ac:dyDescent="0.35">
      <c r="A78" t="s">
        <v>217</v>
      </c>
      <c r="B78" t="s">
        <v>218</v>
      </c>
      <c r="C78">
        <v>8.3759999999999998E-3</v>
      </c>
      <c r="D78" t="s">
        <v>219</v>
      </c>
      <c r="E78">
        <f t="shared" ca="1" si="4"/>
        <v>8.8439562275331257E-2</v>
      </c>
      <c r="F78">
        <f t="shared" ca="1" si="5"/>
        <v>-5.598348765573942E-2</v>
      </c>
      <c r="G78">
        <f t="shared" ca="1" si="6"/>
        <v>1.6228037309795919E-2</v>
      </c>
      <c r="H78" t="str">
        <f t="shared" si="7"/>
        <v>0-0.05</v>
      </c>
    </row>
    <row r="79" spans="1:8" x14ac:dyDescent="0.35">
      <c r="A79" t="s">
        <v>220</v>
      </c>
      <c r="B79" t="s">
        <v>221</v>
      </c>
      <c r="C79">
        <v>2.6540000000000001E-2</v>
      </c>
      <c r="D79" t="s">
        <v>222</v>
      </c>
      <c r="E79">
        <f t="shared" ca="1" si="4"/>
        <v>3.3666551435256174E-2</v>
      </c>
      <c r="F79">
        <f t="shared" ca="1" si="5"/>
        <v>1.1635985403070766E-2</v>
      </c>
      <c r="G79">
        <f t="shared" ca="1" si="6"/>
        <v>2.265126841916347E-2</v>
      </c>
      <c r="H79" t="str">
        <f t="shared" si="7"/>
        <v>0-0.05</v>
      </c>
    </row>
    <row r="80" spans="1:8" x14ac:dyDescent="0.35">
      <c r="A80" t="s">
        <v>223</v>
      </c>
      <c r="B80" t="s">
        <v>224</v>
      </c>
      <c r="C80">
        <v>0.18410000000000001</v>
      </c>
      <c r="D80" t="s">
        <v>154</v>
      </c>
      <c r="E80">
        <f t="shared" ca="1" si="4"/>
        <v>-4.3856962786518482E-2</v>
      </c>
      <c r="F80">
        <f t="shared" ca="1" si="5"/>
        <v>-3.9503292350119977E-2</v>
      </c>
      <c r="G80">
        <f t="shared" ca="1" si="6"/>
        <v>-4.1680127568319229E-2</v>
      </c>
      <c r="H80" t="str">
        <f t="shared" si="7"/>
        <v>0.05-0.5</v>
      </c>
    </row>
    <row r="81" spans="1:8" x14ac:dyDescent="0.35">
      <c r="A81" t="s">
        <v>225</v>
      </c>
      <c r="B81" t="s">
        <v>226</v>
      </c>
      <c r="C81">
        <v>2.085E-2</v>
      </c>
      <c r="D81" t="s">
        <v>227</v>
      </c>
      <c r="E81">
        <f t="shared" ca="1" si="4"/>
        <v>-2.7685679353243321E-2</v>
      </c>
      <c r="F81">
        <f t="shared" ca="1" si="5"/>
        <v>9.2809790384917934E-2</v>
      </c>
      <c r="G81">
        <f t="shared" ca="1" si="6"/>
        <v>3.256205551583731E-2</v>
      </c>
      <c r="H81" t="str">
        <f t="shared" si="7"/>
        <v>0-0.05</v>
      </c>
    </row>
    <row r="82" spans="1:8" x14ac:dyDescent="0.35">
      <c r="A82" t="s">
        <v>228</v>
      </c>
      <c r="B82" t="s">
        <v>229</v>
      </c>
      <c r="C82">
        <v>2.2439999999999999E-3</v>
      </c>
      <c r="D82" t="s">
        <v>230</v>
      </c>
      <c r="E82">
        <f t="shared" ca="1" si="4"/>
        <v>7.2054543284593891E-3</v>
      </c>
      <c r="F82">
        <f t="shared" ca="1" si="5"/>
        <v>-3.3101853076610489E-2</v>
      </c>
      <c r="G82">
        <f t="shared" ca="1" si="6"/>
        <v>-1.2948199374075551E-2</v>
      </c>
      <c r="H82" t="str">
        <f t="shared" si="7"/>
        <v>0-0.05</v>
      </c>
    </row>
    <row r="83" spans="1:8" x14ac:dyDescent="0.35">
      <c r="A83" t="s">
        <v>231</v>
      </c>
      <c r="B83" t="s">
        <v>232</v>
      </c>
      <c r="C83">
        <v>2.0410000000000001E-2</v>
      </c>
      <c r="D83" t="s">
        <v>233</v>
      </c>
      <c r="E83">
        <f t="shared" ca="1" si="4"/>
        <v>1.4098564553417955E-2</v>
      </c>
      <c r="F83">
        <f t="shared" ca="1" si="5"/>
        <v>5.9839680300041706E-2</v>
      </c>
      <c r="G83">
        <f t="shared" ca="1" si="6"/>
        <v>3.6969122426729832E-2</v>
      </c>
      <c r="H83" t="str">
        <f t="shared" si="7"/>
        <v>0-0.05</v>
      </c>
    </row>
    <row r="84" spans="1:8" x14ac:dyDescent="0.35">
      <c r="A84" t="s">
        <v>234</v>
      </c>
      <c r="B84" t="s">
        <v>235</v>
      </c>
      <c r="C84">
        <v>1.2229999999999999E-3</v>
      </c>
      <c r="D84" t="s">
        <v>145</v>
      </c>
      <c r="E84">
        <f t="shared" ca="1" si="4"/>
        <v>3.8567610979537537E-2</v>
      </c>
      <c r="F84">
        <f t="shared" ca="1" si="5"/>
        <v>3.5911554108302914E-2</v>
      </c>
      <c r="G84">
        <f t="shared" ca="1" si="6"/>
        <v>3.7239582543920222E-2</v>
      </c>
      <c r="H84" t="str">
        <f t="shared" si="7"/>
        <v>0-0.05</v>
      </c>
    </row>
    <row r="85" spans="1:8" x14ac:dyDescent="0.35">
      <c r="A85" t="s">
        <v>236</v>
      </c>
      <c r="B85" t="s">
        <v>237</v>
      </c>
      <c r="C85">
        <v>2.5230000000000001E-3</v>
      </c>
      <c r="D85" t="s">
        <v>238</v>
      </c>
      <c r="E85">
        <f t="shared" ca="1" si="4"/>
        <v>-1.433106580590039E-2</v>
      </c>
      <c r="F85">
        <f t="shared" ca="1" si="5"/>
        <v>-4.7349811826311056E-3</v>
      </c>
      <c r="G85">
        <f t="shared" ca="1" si="6"/>
        <v>-9.533023494265748E-3</v>
      </c>
      <c r="H85" t="str">
        <f t="shared" si="7"/>
        <v>0-0.05</v>
      </c>
    </row>
    <row r="86" spans="1:8" x14ac:dyDescent="0.35">
      <c r="A86" t="s">
        <v>239</v>
      </c>
      <c r="B86" t="s">
        <v>240</v>
      </c>
      <c r="C86">
        <v>3.288E-2</v>
      </c>
      <c r="D86" t="s">
        <v>62</v>
      </c>
      <c r="E86">
        <f t="shared" ca="1" si="4"/>
        <v>3.8154845644377246E-2</v>
      </c>
      <c r="F86">
        <f t="shared" ca="1" si="5"/>
        <v>-6.3040702397398687E-2</v>
      </c>
      <c r="G86">
        <f t="shared" ca="1" si="6"/>
        <v>-1.2442928376510721E-2</v>
      </c>
      <c r="H86" t="str">
        <f t="shared" si="7"/>
        <v>0-0.05</v>
      </c>
    </row>
    <row r="87" spans="1:8" x14ac:dyDescent="0.35">
      <c r="A87" t="s">
        <v>241</v>
      </c>
      <c r="B87" t="s">
        <v>242</v>
      </c>
      <c r="C87">
        <v>2.8809999999999999E-2</v>
      </c>
      <c r="D87" t="s">
        <v>23</v>
      </c>
      <c r="E87">
        <f t="shared" ca="1" si="4"/>
        <v>4.9764949819101345E-2</v>
      </c>
      <c r="F87">
        <f t="shared" ca="1" si="5"/>
        <v>-9.7251529386293122E-3</v>
      </c>
      <c r="G87">
        <f t="shared" ca="1" si="6"/>
        <v>2.0019898440236016E-2</v>
      </c>
      <c r="H87" t="str">
        <f t="shared" si="7"/>
        <v>0-0.05</v>
      </c>
    </row>
    <row r="88" spans="1:8" x14ac:dyDescent="0.35">
      <c r="A88" t="s">
        <v>243</v>
      </c>
      <c r="B88" t="s">
        <v>244</v>
      </c>
      <c r="C88">
        <v>5.1970000000000002E-2</v>
      </c>
      <c r="D88" t="s">
        <v>245</v>
      </c>
      <c r="E88">
        <f t="shared" ca="1" si="4"/>
        <v>-2.0049444320703845E-2</v>
      </c>
      <c r="F88">
        <f t="shared" ca="1" si="5"/>
        <v>-8.8962951818038566E-2</v>
      </c>
      <c r="G88">
        <f t="shared" ca="1" si="6"/>
        <v>-5.4506198069371209E-2</v>
      </c>
      <c r="H88" t="str">
        <f t="shared" si="7"/>
        <v>0.05-0.5</v>
      </c>
    </row>
    <row r="89" spans="1:8" x14ac:dyDescent="0.35">
      <c r="A89" t="s">
        <v>246</v>
      </c>
      <c r="B89" t="s">
        <v>247</v>
      </c>
      <c r="C89">
        <v>1.7489999999999999E-2</v>
      </c>
      <c r="D89" t="s">
        <v>16</v>
      </c>
      <c r="E89">
        <f t="shared" ca="1" si="4"/>
        <v>3.2848970642496436E-2</v>
      </c>
      <c r="F89">
        <f t="shared" ca="1" si="5"/>
        <v>1.1592958255322056E-2</v>
      </c>
      <c r="G89">
        <f t="shared" ca="1" si="6"/>
        <v>2.2220964448909246E-2</v>
      </c>
      <c r="H89" t="str">
        <f t="shared" si="7"/>
        <v>0-0.05</v>
      </c>
    </row>
    <row r="90" spans="1:8" x14ac:dyDescent="0.35">
      <c r="A90" t="s">
        <v>248</v>
      </c>
      <c r="B90" t="s">
        <v>249</v>
      </c>
      <c r="C90">
        <v>3.0099999999999998E-2</v>
      </c>
      <c r="D90" t="s">
        <v>250</v>
      </c>
      <c r="E90">
        <f t="shared" ca="1" si="4"/>
        <v>2.4526625582329275E-2</v>
      </c>
      <c r="F90">
        <f t="shared" ca="1" si="5"/>
        <v>-3.1609950402806154E-2</v>
      </c>
      <c r="G90">
        <f t="shared" ca="1" si="6"/>
        <v>-3.5416624102384397E-3</v>
      </c>
      <c r="H90" t="str">
        <f t="shared" si="7"/>
        <v>0-0.05</v>
      </c>
    </row>
    <row r="91" spans="1:8" x14ac:dyDescent="0.35">
      <c r="A91" t="s">
        <v>251</v>
      </c>
      <c r="B91" t="s">
        <v>252</v>
      </c>
      <c r="C91">
        <v>1.3899999999999999E-2</v>
      </c>
      <c r="D91" t="s">
        <v>16</v>
      </c>
      <c r="E91">
        <f t="shared" ca="1" si="4"/>
        <v>4.7893268550192686E-2</v>
      </c>
      <c r="F91">
        <f t="shared" ca="1" si="5"/>
        <v>9.7277852178979426E-2</v>
      </c>
      <c r="G91">
        <f t="shared" ca="1" si="6"/>
        <v>7.2585560364586049E-2</v>
      </c>
      <c r="H91" t="str">
        <f t="shared" si="7"/>
        <v>0-0.05</v>
      </c>
    </row>
    <row r="92" spans="1:8" x14ac:dyDescent="0.35">
      <c r="A92" t="s">
        <v>253</v>
      </c>
      <c r="B92" t="s">
        <v>254</v>
      </c>
      <c r="C92">
        <v>4.41E-2</v>
      </c>
      <c r="D92" t="s">
        <v>32</v>
      </c>
      <c r="E92">
        <f t="shared" ca="1" si="4"/>
        <v>-2.5716782023890702E-2</v>
      </c>
      <c r="F92">
        <f t="shared" ca="1" si="5"/>
        <v>8.6416417971430307E-2</v>
      </c>
      <c r="G92">
        <f t="shared" ca="1" si="6"/>
        <v>3.0349817973769802E-2</v>
      </c>
      <c r="H92" t="str">
        <f t="shared" si="7"/>
        <v>0-0.05</v>
      </c>
    </row>
    <row r="93" spans="1:8" x14ac:dyDescent="0.35">
      <c r="A93" t="s">
        <v>255</v>
      </c>
      <c r="B93" t="s">
        <v>256</v>
      </c>
      <c r="C93">
        <v>1.8370000000000001E-2</v>
      </c>
      <c r="D93" t="s">
        <v>257</v>
      </c>
      <c r="E93">
        <f t="shared" ca="1" si="4"/>
        <v>-2.686826467847158E-2</v>
      </c>
      <c r="F93">
        <f t="shared" ca="1" si="5"/>
        <v>-5.4259671635428594E-2</v>
      </c>
      <c r="G93">
        <f t="shared" ca="1" si="6"/>
        <v>-4.0563968156950084E-2</v>
      </c>
      <c r="H93" t="str">
        <f t="shared" si="7"/>
        <v>0-0.05</v>
      </c>
    </row>
    <row r="94" spans="1:8" x14ac:dyDescent="0.35">
      <c r="A94" t="s">
        <v>258</v>
      </c>
      <c r="B94" t="s">
        <v>259</v>
      </c>
      <c r="C94">
        <v>5.3610999999999999E-2</v>
      </c>
      <c r="D94" t="s">
        <v>145</v>
      </c>
      <c r="E94">
        <f t="shared" ca="1" si="4"/>
        <v>-2.3603377543633498E-2</v>
      </c>
      <c r="F94">
        <f t="shared" ca="1" si="5"/>
        <v>-7.6476384432482891E-2</v>
      </c>
      <c r="G94">
        <f t="shared" ca="1" si="6"/>
        <v>-5.0039880988058193E-2</v>
      </c>
      <c r="H94" t="str">
        <f t="shared" si="7"/>
        <v>0.05-0.5</v>
      </c>
    </row>
    <row r="95" spans="1:8" x14ac:dyDescent="0.35">
      <c r="A95" t="s">
        <v>260</v>
      </c>
      <c r="B95" t="s">
        <v>261</v>
      </c>
      <c r="C95">
        <v>7.1993000000000001E-2</v>
      </c>
      <c r="D95" t="s">
        <v>23</v>
      </c>
      <c r="E95">
        <f t="shared" ca="1" si="4"/>
        <v>3.8604420730236566E-2</v>
      </c>
      <c r="F95">
        <f t="shared" ca="1" si="5"/>
        <v>-2.1289201641867438E-2</v>
      </c>
      <c r="G95">
        <f t="shared" ca="1" si="6"/>
        <v>8.6576095441845639E-3</v>
      </c>
      <c r="H95" t="str">
        <f t="shared" si="7"/>
        <v>0.05-0.5</v>
      </c>
    </row>
    <row r="96" spans="1:8" x14ac:dyDescent="0.35">
      <c r="A96" t="s">
        <v>262</v>
      </c>
      <c r="B96" t="s">
        <v>263</v>
      </c>
      <c r="C96">
        <v>6.6669999999999993E-2</v>
      </c>
      <c r="D96" t="s">
        <v>264</v>
      </c>
      <c r="E96">
        <f t="shared" ca="1" si="4"/>
        <v>1.5930249382974281E-2</v>
      </c>
      <c r="F96">
        <f t="shared" ca="1" si="5"/>
        <v>6.2858368121392727E-2</v>
      </c>
      <c r="G96">
        <f t="shared" ca="1" si="6"/>
        <v>3.9394308752183506E-2</v>
      </c>
      <c r="H96" t="str">
        <f t="shared" si="7"/>
        <v>0.05-0.5</v>
      </c>
    </row>
    <row r="97" spans="1:8" x14ac:dyDescent="0.35">
      <c r="A97" t="s">
        <v>265</v>
      </c>
      <c r="B97" t="s">
        <v>266</v>
      </c>
      <c r="C97">
        <v>1.6</v>
      </c>
      <c r="D97" t="s">
        <v>154</v>
      </c>
      <c r="E97">
        <f t="shared" ca="1" si="4"/>
        <v>8.528698131218591E-3</v>
      </c>
      <c r="F97">
        <f t="shared" ca="1" si="5"/>
        <v>-4.3385688955403179E-2</v>
      </c>
      <c r="G97">
        <f t="shared" ca="1" si="6"/>
        <v>-1.7428495412092293E-2</v>
      </c>
      <c r="H97" t="str">
        <f t="shared" si="7"/>
        <v>0.5-5</v>
      </c>
    </row>
    <row r="98" spans="1:8" x14ac:dyDescent="0.35">
      <c r="A98" t="s">
        <v>267</v>
      </c>
      <c r="B98" t="s">
        <v>268</v>
      </c>
      <c r="C98">
        <v>108.17</v>
      </c>
      <c r="D98" t="s">
        <v>70</v>
      </c>
      <c r="E98">
        <f t="shared" ca="1" si="4"/>
        <v>5.0699137640848203E-3</v>
      </c>
      <c r="F98">
        <f t="shared" ca="1" si="5"/>
        <v>5.3220850097049112E-2</v>
      </c>
      <c r="G98">
        <f t="shared" ca="1" si="6"/>
        <v>2.9145381930566965E-2</v>
      </c>
      <c r="H98" t="str">
        <f t="shared" si="7"/>
        <v>&gt;50</v>
      </c>
    </row>
    <row r="99" spans="1:8" x14ac:dyDescent="0.35">
      <c r="A99" t="s">
        <v>269</v>
      </c>
      <c r="B99" t="s">
        <v>270</v>
      </c>
      <c r="C99">
        <v>7.5079999999999994E-2</v>
      </c>
      <c r="D99" t="s">
        <v>163</v>
      </c>
      <c r="E99">
        <f t="shared" ca="1" si="4"/>
        <v>-3.1804073616873776E-2</v>
      </c>
      <c r="F99">
        <f t="shared" ca="1" si="5"/>
        <v>-9.2358343655237707E-2</v>
      </c>
      <c r="G99">
        <f t="shared" ca="1" si="6"/>
        <v>-6.2081208636055742E-2</v>
      </c>
      <c r="H99" t="str">
        <f t="shared" si="7"/>
        <v>0.05-0.5</v>
      </c>
    </row>
    <row r="100" spans="1:8" x14ac:dyDescent="0.35">
      <c r="A100" t="s">
        <v>271</v>
      </c>
      <c r="B100" t="s">
        <v>272</v>
      </c>
      <c r="C100">
        <v>2.934E-3</v>
      </c>
      <c r="D100" t="s">
        <v>273</v>
      </c>
      <c r="E100">
        <f t="shared" ca="1" si="4"/>
        <v>2.8563221764713802E-2</v>
      </c>
      <c r="F100">
        <f t="shared" ca="1" si="5"/>
        <v>2.3463379448441263E-2</v>
      </c>
      <c r="G100">
        <f t="shared" ca="1" si="6"/>
        <v>2.6013300606577534E-2</v>
      </c>
      <c r="H100" t="str">
        <f t="shared" si="7"/>
        <v>0-0.05</v>
      </c>
    </row>
    <row r="101" spans="1:8" x14ac:dyDescent="0.35">
      <c r="A101" t="s">
        <v>274</v>
      </c>
      <c r="B101" t="s">
        <v>275</v>
      </c>
      <c r="C101">
        <v>6.8440000000000001E-2</v>
      </c>
      <c r="D101" t="s">
        <v>276</v>
      </c>
      <c r="E101">
        <f t="shared" ca="1" si="4"/>
        <v>4.8115883139567217E-2</v>
      </c>
      <c r="F101">
        <f t="shared" ca="1" si="5"/>
        <v>3.7329462932797056E-2</v>
      </c>
      <c r="G101">
        <f t="shared" ca="1" si="6"/>
        <v>4.2722673036182136E-2</v>
      </c>
      <c r="H101" t="str">
        <f t="shared" si="7"/>
        <v>0.05-0.5</v>
      </c>
    </row>
    <row r="102" spans="1:8" x14ac:dyDescent="0.35">
      <c r="A102" t="s">
        <v>277</v>
      </c>
      <c r="B102" t="s">
        <v>278</v>
      </c>
      <c r="C102">
        <v>0.3211</v>
      </c>
      <c r="D102" t="s">
        <v>179</v>
      </c>
      <c r="E102">
        <f t="shared" ca="1" si="4"/>
        <v>4.8658978615132804E-2</v>
      </c>
      <c r="F102">
        <f t="shared" ca="1" si="5"/>
        <v>-8.2242660773902618E-2</v>
      </c>
      <c r="G102">
        <f t="shared" ca="1" si="6"/>
        <v>-1.6791841079384907E-2</v>
      </c>
      <c r="H102" t="str">
        <f t="shared" si="7"/>
        <v>0.05-0.5</v>
      </c>
    </row>
    <row r="103" spans="1:8" x14ac:dyDescent="0.35">
      <c r="A103" t="s">
        <v>279</v>
      </c>
      <c r="B103" t="s">
        <v>280</v>
      </c>
      <c r="C103">
        <v>0.18229999999999999</v>
      </c>
      <c r="D103" t="s">
        <v>62</v>
      </c>
      <c r="E103">
        <f t="shared" ca="1" si="4"/>
        <v>4.1030343883977728E-2</v>
      </c>
      <c r="F103">
        <f t="shared" ca="1" si="5"/>
        <v>3.9855450693397659E-2</v>
      </c>
      <c r="G103">
        <f t="shared" ca="1" si="6"/>
        <v>4.044289728868769E-2</v>
      </c>
      <c r="H103" t="str">
        <f t="shared" si="7"/>
        <v>0.05-0.5</v>
      </c>
    </row>
    <row r="104" spans="1:8" x14ac:dyDescent="0.35">
      <c r="A104" t="s">
        <v>281</v>
      </c>
      <c r="B104" t="s">
        <v>282</v>
      </c>
      <c r="C104">
        <v>4.9510000000000005E-4</v>
      </c>
      <c r="D104" t="s">
        <v>283</v>
      </c>
      <c r="E104">
        <f t="shared" ca="1" si="4"/>
        <v>4.7744296285900288E-2</v>
      </c>
      <c r="F104">
        <f t="shared" ca="1" si="5"/>
        <v>0.12467140201806939</v>
      </c>
      <c r="G104">
        <f t="shared" ca="1" si="6"/>
        <v>8.6207849151984844E-2</v>
      </c>
      <c r="H104" t="str">
        <f t="shared" si="7"/>
        <v>0-0.05</v>
      </c>
    </row>
    <row r="105" spans="1:8" x14ac:dyDescent="0.35">
      <c r="A105" t="s">
        <v>284</v>
      </c>
      <c r="B105" t="s">
        <v>285</v>
      </c>
      <c r="C105">
        <v>7.8300000000000002E-3</v>
      </c>
      <c r="D105" t="s">
        <v>286</v>
      </c>
      <c r="E105">
        <f t="shared" ca="1" si="4"/>
        <v>3.9442428005400272E-2</v>
      </c>
      <c r="F105">
        <f t="shared" ca="1" si="5"/>
        <v>5.0282846525044028E-2</v>
      </c>
      <c r="G105">
        <f t="shared" ca="1" si="6"/>
        <v>4.4862637265222147E-2</v>
      </c>
      <c r="H105" t="str">
        <f t="shared" si="7"/>
        <v>0-0.05</v>
      </c>
    </row>
    <row r="106" spans="1:8" x14ac:dyDescent="0.35">
      <c r="A106" t="s">
        <v>287</v>
      </c>
      <c r="B106" t="s">
        <v>288</v>
      </c>
      <c r="C106">
        <v>5.5989999999999998E-2</v>
      </c>
      <c r="D106" t="s">
        <v>23</v>
      </c>
      <c r="E106">
        <f t="shared" ca="1" si="4"/>
        <v>1.706217697580056E-2</v>
      </c>
      <c r="F106">
        <f t="shared" ca="1" si="5"/>
        <v>-5.2832352876805308E-2</v>
      </c>
      <c r="G106">
        <f t="shared" ca="1" si="6"/>
        <v>-1.7885087950502372E-2</v>
      </c>
      <c r="H106" t="str">
        <f t="shared" si="7"/>
        <v>0.05-0.5</v>
      </c>
    </row>
    <row r="107" spans="1:8" x14ac:dyDescent="0.35">
      <c r="A107" t="s">
        <v>289</v>
      </c>
      <c r="B107" t="s">
        <v>290</v>
      </c>
      <c r="C107">
        <v>1.193E-2</v>
      </c>
      <c r="D107" t="s">
        <v>190</v>
      </c>
      <c r="E107">
        <f t="shared" ca="1" si="4"/>
        <v>3.9217379252348014E-2</v>
      </c>
      <c r="F107">
        <f t="shared" ca="1" si="5"/>
        <v>1.4343173981493536E-3</v>
      </c>
      <c r="G107">
        <f t="shared" ca="1" si="6"/>
        <v>2.0325848325248683E-2</v>
      </c>
      <c r="H107" t="str">
        <f t="shared" si="7"/>
        <v>0-0.05</v>
      </c>
    </row>
    <row r="108" spans="1:8" x14ac:dyDescent="0.35">
      <c r="A108" t="s">
        <v>291</v>
      </c>
      <c r="B108" t="s">
        <v>292</v>
      </c>
      <c r="C108">
        <v>0.42120000000000002</v>
      </c>
      <c r="D108" t="s">
        <v>293</v>
      </c>
      <c r="E108">
        <f t="shared" ca="1" si="4"/>
        <v>-4.343488802217587E-2</v>
      </c>
      <c r="F108">
        <f t="shared" ca="1" si="5"/>
        <v>6.0326429473815744E-2</v>
      </c>
      <c r="G108">
        <f t="shared" ca="1" si="6"/>
        <v>8.4457707258199372E-3</v>
      </c>
      <c r="H108" t="str">
        <f t="shared" si="7"/>
        <v>0.05-0.5</v>
      </c>
    </row>
    <row r="109" spans="1:8" x14ac:dyDescent="0.35">
      <c r="A109" t="s">
        <v>294</v>
      </c>
      <c r="B109" t="s">
        <v>295</v>
      </c>
      <c r="C109">
        <v>2.198E-2</v>
      </c>
      <c r="D109" t="s">
        <v>296</v>
      </c>
      <c r="E109">
        <f t="shared" ca="1" si="4"/>
        <v>-2.0413276006956804E-2</v>
      </c>
      <c r="F109">
        <f t="shared" ca="1" si="5"/>
        <v>0.11220280360799666</v>
      </c>
      <c r="G109">
        <f t="shared" ca="1" si="6"/>
        <v>4.5894763800519926E-2</v>
      </c>
      <c r="H109" t="str">
        <f t="shared" si="7"/>
        <v>0-0.05</v>
      </c>
    </row>
    <row r="110" spans="1:8" x14ac:dyDescent="0.35">
      <c r="A110" t="s">
        <v>297</v>
      </c>
      <c r="B110" t="s">
        <v>298</v>
      </c>
      <c r="C110">
        <v>1.163E-2</v>
      </c>
      <c r="D110" t="s">
        <v>230</v>
      </c>
      <c r="E110">
        <f t="shared" ca="1" si="4"/>
        <v>-2.3283797382389285E-2</v>
      </c>
      <c r="F110">
        <f t="shared" ca="1" si="5"/>
        <v>2.7679355784065215E-2</v>
      </c>
      <c r="G110">
        <f t="shared" ca="1" si="6"/>
        <v>2.1977792008379647E-3</v>
      </c>
      <c r="H110" t="str">
        <f t="shared" si="7"/>
        <v>0-0.05</v>
      </c>
    </row>
    <row r="111" spans="1:8" x14ac:dyDescent="0.35">
      <c r="A111" t="s">
        <v>299</v>
      </c>
      <c r="B111" t="s">
        <v>300</v>
      </c>
      <c r="C111">
        <v>146.91999999999999</v>
      </c>
      <c r="D111" t="s">
        <v>301</v>
      </c>
      <c r="E111">
        <f t="shared" ca="1" si="4"/>
        <v>-4.4109560955845409E-3</v>
      </c>
      <c r="F111">
        <f t="shared" ca="1" si="5"/>
        <v>2.6997067206172631E-2</v>
      </c>
      <c r="G111">
        <f t="shared" ca="1" si="6"/>
        <v>1.1293055555294045E-2</v>
      </c>
      <c r="H111" t="str">
        <f t="shared" si="7"/>
        <v>&gt;50</v>
      </c>
    </row>
    <row r="112" spans="1:8" x14ac:dyDescent="0.35">
      <c r="A112" t="s">
        <v>302</v>
      </c>
      <c r="B112" t="s">
        <v>303</v>
      </c>
      <c r="C112">
        <v>1.392E-4</v>
      </c>
      <c r="D112" t="s">
        <v>185</v>
      </c>
      <c r="E112">
        <f t="shared" ca="1" si="4"/>
        <v>2.9570468302672823E-2</v>
      </c>
      <c r="F112">
        <f t="shared" ca="1" si="5"/>
        <v>-2.8267716915639177E-2</v>
      </c>
      <c r="G112">
        <f t="shared" ca="1" si="6"/>
        <v>6.5137569351682301E-4</v>
      </c>
      <c r="H112" t="str">
        <f t="shared" si="7"/>
        <v>0-0.05</v>
      </c>
    </row>
    <row r="113" spans="1:8" x14ac:dyDescent="0.35">
      <c r="A113" t="s">
        <v>304</v>
      </c>
      <c r="B113" t="s">
        <v>305</v>
      </c>
      <c r="C113">
        <v>0.1065</v>
      </c>
      <c r="D113" t="s">
        <v>80</v>
      </c>
      <c r="E113">
        <f t="shared" ca="1" si="4"/>
        <v>-3.5873484264264198E-2</v>
      </c>
      <c r="F113">
        <f t="shared" ca="1" si="5"/>
        <v>3.9124503049710581E-2</v>
      </c>
      <c r="G113">
        <f t="shared" ca="1" si="6"/>
        <v>1.6255093927231914E-3</v>
      </c>
      <c r="H113" t="str">
        <f t="shared" si="7"/>
        <v>0.05-0.5</v>
      </c>
    </row>
    <row r="114" spans="1:8" x14ac:dyDescent="0.35">
      <c r="A114" t="s">
        <v>306</v>
      </c>
      <c r="B114" t="s">
        <v>307</v>
      </c>
      <c r="C114">
        <v>1.8810000000000001E-3</v>
      </c>
      <c r="D114" t="s">
        <v>308</v>
      </c>
      <c r="E114">
        <f t="shared" ca="1" si="4"/>
        <v>-3.8069485545965356E-2</v>
      </c>
      <c r="F114">
        <f t="shared" ca="1" si="5"/>
        <v>-8.2909517499740862E-2</v>
      </c>
      <c r="G114">
        <f t="shared" ca="1" si="6"/>
        <v>-6.0489501522853109E-2</v>
      </c>
      <c r="H114" t="str">
        <f t="shared" si="7"/>
        <v>0-0.05</v>
      </c>
    </row>
    <row r="115" spans="1:8" x14ac:dyDescent="0.35">
      <c r="A115" t="s">
        <v>309</v>
      </c>
      <c r="B115" t="s">
        <v>310</v>
      </c>
      <c r="C115">
        <v>9.0589999999999993E-3</v>
      </c>
      <c r="D115" t="s">
        <v>311</v>
      </c>
      <c r="E115">
        <f t="shared" ca="1" si="4"/>
        <v>-2.1412075726341094E-2</v>
      </c>
      <c r="F115">
        <f t="shared" ca="1" si="5"/>
        <v>5.7859453517991835E-2</v>
      </c>
      <c r="G115">
        <f t="shared" ca="1" si="6"/>
        <v>1.8223688895825371E-2</v>
      </c>
      <c r="H115" t="str">
        <f t="shared" si="7"/>
        <v>0-0.05</v>
      </c>
    </row>
    <row r="116" spans="1:8" x14ac:dyDescent="0.35">
      <c r="A116" t="s">
        <v>312</v>
      </c>
      <c r="B116" t="s">
        <v>28</v>
      </c>
      <c r="C116">
        <v>9.443E-3</v>
      </c>
      <c r="D116" t="s">
        <v>313</v>
      </c>
      <c r="E116">
        <f t="shared" ca="1" si="4"/>
        <v>3.6545029841266452E-2</v>
      </c>
      <c r="F116">
        <f t="shared" ca="1" si="5"/>
        <v>2.2158107853008112E-2</v>
      </c>
      <c r="G116">
        <f t="shared" ca="1" si="6"/>
        <v>2.9351568847137282E-2</v>
      </c>
      <c r="H116" t="str">
        <f t="shared" si="7"/>
        <v>0-0.05</v>
      </c>
    </row>
    <row r="117" spans="1:8" x14ac:dyDescent="0.35">
      <c r="A117" t="s">
        <v>314</v>
      </c>
      <c r="B117" t="s">
        <v>315</v>
      </c>
      <c r="C117">
        <v>9.0810000000000005E-3</v>
      </c>
      <c r="D117" t="s">
        <v>227</v>
      </c>
      <c r="E117">
        <f t="shared" ca="1" si="4"/>
        <v>1.1614597128007786E-2</v>
      </c>
      <c r="F117">
        <f t="shared" ca="1" si="5"/>
        <v>-6.8799871910262364E-2</v>
      </c>
      <c r="G117">
        <f t="shared" ca="1" si="6"/>
        <v>-2.8592637391127287E-2</v>
      </c>
      <c r="H117" t="str">
        <f t="shared" si="7"/>
        <v>0-0.05</v>
      </c>
    </row>
    <row r="118" spans="1:8" x14ac:dyDescent="0.35">
      <c r="A118" t="s">
        <v>316</v>
      </c>
      <c r="B118" t="s">
        <v>317</v>
      </c>
      <c r="C118">
        <v>9.4009999999999996E-3</v>
      </c>
      <c r="D118" t="s">
        <v>318</v>
      </c>
      <c r="E118">
        <f t="shared" ca="1" si="4"/>
        <v>-4.3853038622883415E-3</v>
      </c>
      <c r="F118">
        <f t="shared" ca="1" si="5"/>
        <v>-1.6919627585812575E-2</v>
      </c>
      <c r="G118">
        <f t="shared" ca="1" si="6"/>
        <v>-1.0652465724050458E-2</v>
      </c>
      <c r="H118" t="str">
        <f t="shared" si="7"/>
        <v>0-0.05</v>
      </c>
    </row>
    <row r="119" spans="1:8" x14ac:dyDescent="0.35">
      <c r="A119" t="s">
        <v>319</v>
      </c>
      <c r="B119" t="s">
        <v>320</v>
      </c>
      <c r="C119">
        <v>1.413E-2</v>
      </c>
      <c r="D119" t="s">
        <v>67</v>
      </c>
      <c r="E119">
        <f t="shared" ca="1" si="4"/>
        <v>-3.3119680695773111E-2</v>
      </c>
      <c r="F119">
        <f t="shared" ca="1" si="5"/>
        <v>6.2381733023749121E-3</v>
      </c>
      <c r="G119">
        <f t="shared" ca="1" si="6"/>
        <v>-1.3440753696699099E-2</v>
      </c>
      <c r="H119" t="str">
        <f t="shared" si="7"/>
        <v>0-0.05</v>
      </c>
    </row>
    <row r="120" spans="1:8" x14ac:dyDescent="0.35">
      <c r="A120" t="s">
        <v>321</v>
      </c>
      <c r="B120" t="s">
        <v>322</v>
      </c>
      <c r="C120">
        <v>1.661E-2</v>
      </c>
      <c r="D120" t="s">
        <v>323</v>
      </c>
      <c r="E120">
        <f t="shared" ca="1" si="4"/>
        <v>1.1438352141934786E-2</v>
      </c>
      <c r="F120">
        <f t="shared" ca="1" si="5"/>
        <v>4.2713241191725551E-2</v>
      </c>
      <c r="G120">
        <f t="shared" ca="1" si="6"/>
        <v>2.7075796666830167E-2</v>
      </c>
      <c r="H120" t="str">
        <f t="shared" si="7"/>
        <v>0-0.05</v>
      </c>
    </row>
    <row r="121" spans="1:8" x14ac:dyDescent="0.35">
      <c r="A121" t="s">
        <v>324</v>
      </c>
      <c r="B121" t="s">
        <v>325</v>
      </c>
      <c r="C121">
        <v>9.2256000000000005E-2</v>
      </c>
      <c r="D121" t="s">
        <v>326</v>
      </c>
      <c r="E121">
        <f t="shared" ca="1" si="4"/>
        <v>2.7426158591303727E-2</v>
      </c>
      <c r="F121">
        <f t="shared" ca="1" si="5"/>
        <v>-1.8674846122792545E-2</v>
      </c>
      <c r="G121">
        <f t="shared" ca="1" si="6"/>
        <v>4.375656234255591E-3</v>
      </c>
      <c r="H121" t="str">
        <f t="shared" si="7"/>
        <v>0.05-0.5</v>
      </c>
    </row>
    <row r="122" spans="1:8" x14ac:dyDescent="0.35">
      <c r="A122" t="s">
        <v>327</v>
      </c>
      <c r="B122" t="s">
        <v>328</v>
      </c>
      <c r="C122">
        <v>1.69</v>
      </c>
      <c r="D122" t="s">
        <v>67</v>
      </c>
      <c r="E122">
        <f t="shared" ca="1" si="4"/>
        <v>-4.0914377902760701E-5</v>
      </c>
      <c r="F122">
        <f t="shared" ca="1" si="5"/>
        <v>2.4119621196559467E-2</v>
      </c>
      <c r="G122">
        <f t="shared" ca="1" si="6"/>
        <v>1.2039353409328353E-2</v>
      </c>
      <c r="H122" t="str">
        <f t="shared" si="7"/>
        <v>0.5-5</v>
      </c>
    </row>
    <row r="123" spans="1:8" x14ac:dyDescent="0.35">
      <c r="A123" t="s">
        <v>329</v>
      </c>
      <c r="B123" t="s">
        <v>329</v>
      </c>
      <c r="C123">
        <v>3.4939999999999999E-2</v>
      </c>
      <c r="D123" t="s">
        <v>133</v>
      </c>
      <c r="E123">
        <f t="shared" ca="1" si="4"/>
        <v>4.98077068921031E-2</v>
      </c>
      <c r="F123">
        <f t="shared" ca="1" si="5"/>
        <v>0.11014609172478368</v>
      </c>
      <c r="G123">
        <f t="shared" ca="1" si="6"/>
        <v>7.9976899308443386E-2</v>
      </c>
      <c r="H123" t="str">
        <f t="shared" si="7"/>
        <v>0-0.05</v>
      </c>
    </row>
    <row r="124" spans="1:8" x14ac:dyDescent="0.35">
      <c r="A124" t="s">
        <v>330</v>
      </c>
      <c r="B124" t="s">
        <v>331</v>
      </c>
      <c r="C124">
        <v>4.7939999999999997E-3</v>
      </c>
      <c r="D124" t="s">
        <v>185</v>
      </c>
      <c r="E124">
        <f t="shared" ca="1" si="4"/>
        <v>4.147692094114537E-2</v>
      </c>
      <c r="F124">
        <f t="shared" ca="1" si="5"/>
        <v>9.992300541705991E-2</v>
      </c>
      <c r="G124">
        <f t="shared" ca="1" si="6"/>
        <v>7.069996317910264E-2</v>
      </c>
      <c r="H124" t="str">
        <f t="shared" si="7"/>
        <v>0-0.05</v>
      </c>
    </row>
    <row r="125" spans="1:8" x14ac:dyDescent="0.35">
      <c r="A125" t="s">
        <v>332</v>
      </c>
      <c r="B125" t="s">
        <v>333</v>
      </c>
      <c r="C125">
        <v>1.839E-2</v>
      </c>
      <c r="D125" t="s">
        <v>148</v>
      </c>
      <c r="E125">
        <f t="shared" ca="1" si="4"/>
        <v>-4.2042538406805103E-3</v>
      </c>
      <c r="F125">
        <f t="shared" ca="1" si="5"/>
        <v>6.7080832927002051E-2</v>
      </c>
      <c r="G125">
        <f t="shared" ca="1" si="6"/>
        <v>3.1438289543160768E-2</v>
      </c>
      <c r="H125" t="str">
        <f t="shared" si="7"/>
        <v>0-0.05</v>
      </c>
    </row>
    <row r="126" spans="1:8" x14ac:dyDescent="0.35">
      <c r="A126" t="s">
        <v>334</v>
      </c>
      <c r="B126" t="s">
        <v>335</v>
      </c>
      <c r="C126">
        <v>3.6720000000000003E-2</v>
      </c>
      <c r="D126" t="s">
        <v>257</v>
      </c>
      <c r="E126">
        <f t="shared" ca="1" si="4"/>
        <v>-4.2232038737688868E-2</v>
      </c>
      <c r="F126">
        <f t="shared" ca="1" si="5"/>
        <v>1.1095849705134705E-2</v>
      </c>
      <c r="G126">
        <f t="shared" ca="1" si="6"/>
        <v>-1.5568094516277081E-2</v>
      </c>
      <c r="H126" t="str">
        <f t="shared" si="7"/>
        <v>0-0.05</v>
      </c>
    </row>
    <row r="127" spans="1:8" x14ac:dyDescent="0.35">
      <c r="A127" t="s">
        <v>336</v>
      </c>
      <c r="B127" t="s">
        <v>337</v>
      </c>
      <c r="C127">
        <v>7.7879999999999998E-3</v>
      </c>
      <c r="D127" t="s">
        <v>326</v>
      </c>
      <c r="E127">
        <f t="shared" ca="1" si="4"/>
        <v>-2.8329245406883818E-2</v>
      </c>
      <c r="F127">
        <f t="shared" ca="1" si="5"/>
        <v>-3.4143414405515188E-2</v>
      </c>
      <c r="G127">
        <f t="shared" ca="1" si="6"/>
        <v>-3.1236329906199505E-2</v>
      </c>
      <c r="H127" t="str">
        <f t="shared" si="7"/>
        <v>0-0.05</v>
      </c>
    </row>
    <row r="128" spans="1:8" x14ac:dyDescent="0.35">
      <c r="A128" t="s">
        <v>338</v>
      </c>
      <c r="B128" t="s">
        <v>339</v>
      </c>
      <c r="C128">
        <v>1.508E-2</v>
      </c>
      <c r="D128" t="s">
        <v>340</v>
      </c>
      <c r="E128">
        <f t="shared" ca="1" si="4"/>
        <v>-3.1333155014026712E-2</v>
      </c>
      <c r="F128">
        <f t="shared" ca="1" si="5"/>
        <v>-7.8898137073577429E-2</v>
      </c>
      <c r="G128">
        <f t="shared" ca="1" si="6"/>
        <v>-5.511564604380207E-2</v>
      </c>
      <c r="H128" t="str">
        <f t="shared" si="7"/>
        <v>0-0.05</v>
      </c>
    </row>
    <row r="129" spans="1:8" x14ac:dyDescent="0.35">
      <c r="A129" t="s">
        <v>341</v>
      </c>
      <c r="B129" t="s">
        <v>342</v>
      </c>
      <c r="C129">
        <v>2.5340000000000001E-2</v>
      </c>
      <c r="D129" t="s">
        <v>80</v>
      </c>
      <c r="E129">
        <f t="shared" ca="1" si="4"/>
        <v>-1.4499162565157176E-2</v>
      </c>
      <c r="F129">
        <f t="shared" ca="1" si="5"/>
        <v>8.721983838574203E-2</v>
      </c>
      <c r="G129">
        <f t="shared" ca="1" si="6"/>
        <v>3.6360337910292424E-2</v>
      </c>
      <c r="H129" t="str">
        <f t="shared" si="7"/>
        <v>0-0.05</v>
      </c>
    </row>
    <row r="130" spans="1:8" x14ac:dyDescent="0.35">
      <c r="A130" t="s">
        <v>343</v>
      </c>
      <c r="B130" t="s">
        <v>344</v>
      </c>
      <c r="C130">
        <v>0.33090000000000003</v>
      </c>
      <c r="D130" t="s">
        <v>203</v>
      </c>
      <c r="E130">
        <f t="shared" ca="1" si="4"/>
        <v>1.6572847478919482E-2</v>
      </c>
      <c r="F130">
        <f t="shared" ca="1" si="5"/>
        <v>-6.1608071027184436E-2</v>
      </c>
      <c r="G130">
        <f t="shared" ca="1" si="6"/>
        <v>-2.2517611774132477E-2</v>
      </c>
      <c r="H130" t="str">
        <f t="shared" si="7"/>
        <v>0.05-0.5</v>
      </c>
    </row>
    <row r="131" spans="1:8" x14ac:dyDescent="0.35">
      <c r="A131" t="s">
        <v>345</v>
      </c>
      <c r="B131" t="s">
        <v>346</v>
      </c>
      <c r="C131">
        <v>3.9579999999999997E-2</v>
      </c>
      <c r="D131" t="s">
        <v>347</v>
      </c>
      <c r="E131">
        <f t="shared" ref="E131:E194" ca="1" si="8">D131 + (RAND()-0.5)/10</f>
        <v>2.2868773352338227E-2</v>
      </c>
      <c r="F131">
        <f t="shared" ref="F131:F194" ca="1" si="9">D131 + (RAND()-0.5)/5</f>
        <v>-4.274647365187402E-2</v>
      </c>
      <c r="G131">
        <f t="shared" ref="G131:G194" ca="1" si="10">AVERAGE(D131,E131,F131)</f>
        <v>-9.9388501497678968E-3</v>
      </c>
      <c r="H131" t="str">
        <f t="shared" ref="H131:H194" si="11">IF(C131&lt;=0.05,"0-0.05",
IF(C131&lt;=0.5,"0.05-0.5",
IF(C131&lt;=5,"0.5-5",
IF(C131&lt;=50,"5-50","&gt;50"))))</f>
        <v>0-0.05</v>
      </c>
    </row>
    <row r="132" spans="1:8" x14ac:dyDescent="0.35">
      <c r="A132" t="s">
        <v>348</v>
      </c>
      <c r="B132" t="s">
        <v>349</v>
      </c>
      <c r="C132">
        <v>5.5209999999999999E-3</v>
      </c>
      <c r="D132" t="s">
        <v>227</v>
      </c>
      <c r="E132">
        <f t="shared" ca="1" si="8"/>
        <v>3.5726807227424572E-2</v>
      </c>
      <c r="F132">
        <f t="shared" ca="1" si="9"/>
        <v>-3.1451460316967786E-2</v>
      </c>
      <c r="G132">
        <f t="shared" ca="1" si="10"/>
        <v>2.1376734552283928E-3</v>
      </c>
      <c r="H132" t="str">
        <f t="shared" si="11"/>
        <v>0-0.05</v>
      </c>
    </row>
    <row r="133" spans="1:8" x14ac:dyDescent="0.35">
      <c r="A133" t="s">
        <v>350</v>
      </c>
      <c r="B133" t="s">
        <v>351</v>
      </c>
      <c r="C133">
        <v>9.0029999999999999E-2</v>
      </c>
      <c r="D133" t="s">
        <v>293</v>
      </c>
      <c r="E133">
        <f t="shared" ca="1" si="8"/>
        <v>7.7546158093117924E-3</v>
      </c>
      <c r="F133">
        <f t="shared" ca="1" si="9"/>
        <v>-3.1868389210709691E-3</v>
      </c>
      <c r="G133">
        <f t="shared" ca="1" si="10"/>
        <v>2.2838884441204119E-3</v>
      </c>
      <c r="H133" t="str">
        <f t="shared" si="11"/>
        <v>0.05-0.5</v>
      </c>
    </row>
    <row r="134" spans="1:8" x14ac:dyDescent="0.35">
      <c r="A134" t="s">
        <v>352</v>
      </c>
      <c r="B134" t="s">
        <v>353</v>
      </c>
      <c r="C134">
        <v>5.4479999999999997E-3</v>
      </c>
      <c r="D134" t="s">
        <v>80</v>
      </c>
      <c r="E134">
        <f t="shared" ca="1" si="8"/>
        <v>3.9423803577891124E-2</v>
      </c>
      <c r="F134">
        <f t="shared" ca="1" si="9"/>
        <v>-6.4190083225335703E-2</v>
      </c>
      <c r="G134">
        <f t="shared" ca="1" si="10"/>
        <v>-1.238313982372229E-2</v>
      </c>
      <c r="H134" t="str">
        <f t="shared" si="11"/>
        <v>0-0.05</v>
      </c>
    </row>
    <row r="135" spans="1:8" x14ac:dyDescent="0.35">
      <c r="A135" t="s">
        <v>354</v>
      </c>
      <c r="B135" t="s">
        <v>355</v>
      </c>
      <c r="C135">
        <v>2.954E-2</v>
      </c>
      <c r="D135" t="s">
        <v>293</v>
      </c>
      <c r="E135">
        <f t="shared" ca="1" si="8"/>
        <v>3.9302465610856305E-2</v>
      </c>
      <c r="F135">
        <f t="shared" ca="1" si="9"/>
        <v>5.9195385505398289E-2</v>
      </c>
      <c r="G135">
        <f t="shared" ca="1" si="10"/>
        <v>4.9248925558127293E-2</v>
      </c>
      <c r="H135" t="str">
        <f t="shared" si="11"/>
        <v>0-0.05</v>
      </c>
    </row>
    <row r="136" spans="1:8" x14ac:dyDescent="0.35">
      <c r="A136" t="s">
        <v>356</v>
      </c>
      <c r="B136" t="s">
        <v>357</v>
      </c>
      <c r="C136">
        <v>2.2859999999999998E-3</v>
      </c>
      <c r="D136" t="s">
        <v>358</v>
      </c>
      <c r="E136">
        <f t="shared" ca="1" si="8"/>
        <v>1.5754322198027446E-2</v>
      </c>
      <c r="F136">
        <f t="shared" ca="1" si="9"/>
        <v>3.5193117542641442E-2</v>
      </c>
      <c r="G136">
        <f t="shared" ca="1" si="10"/>
        <v>2.5473719870334442E-2</v>
      </c>
      <c r="H136" t="str">
        <f t="shared" si="11"/>
        <v>0-0.05</v>
      </c>
    </row>
    <row r="137" spans="1:8" x14ac:dyDescent="0.35">
      <c r="A137" t="s">
        <v>359</v>
      </c>
      <c r="B137" t="s">
        <v>360</v>
      </c>
      <c r="C137">
        <v>1.011E-3</v>
      </c>
      <c r="D137" t="s">
        <v>361</v>
      </c>
      <c r="E137">
        <f t="shared" ca="1" si="8"/>
        <v>-2.8260013483187345E-2</v>
      </c>
      <c r="F137">
        <f t="shared" ca="1" si="9"/>
        <v>-1.8580088496175366E-2</v>
      </c>
      <c r="G137">
        <f t="shared" ca="1" si="10"/>
        <v>-2.3420050989681356E-2</v>
      </c>
      <c r="H137" t="str">
        <f t="shared" si="11"/>
        <v>0-0.05</v>
      </c>
    </row>
    <row r="138" spans="1:8" x14ac:dyDescent="0.35">
      <c r="A138" t="s">
        <v>362</v>
      </c>
      <c r="B138" t="s">
        <v>363</v>
      </c>
      <c r="C138">
        <v>0.53059999999999996</v>
      </c>
      <c r="D138" t="s">
        <v>70</v>
      </c>
      <c r="E138">
        <f t="shared" ca="1" si="8"/>
        <v>3.3326725287292462E-2</v>
      </c>
      <c r="F138">
        <f t="shared" ca="1" si="9"/>
        <v>-2.4441840731206567E-2</v>
      </c>
      <c r="G138">
        <f t="shared" ca="1" si="10"/>
        <v>4.4424422780429476E-3</v>
      </c>
      <c r="H138" t="str">
        <f t="shared" si="11"/>
        <v>0.5-5</v>
      </c>
    </row>
    <row r="139" spans="1:8" x14ac:dyDescent="0.35">
      <c r="A139" t="s">
        <v>364</v>
      </c>
      <c r="B139" t="s">
        <v>365</v>
      </c>
      <c r="C139">
        <v>5.1869999999999998E-3</v>
      </c>
      <c r="D139" t="s">
        <v>366</v>
      </c>
      <c r="E139">
        <f t="shared" ca="1" si="8"/>
        <v>1.7277480600368681E-3</v>
      </c>
      <c r="F139">
        <f t="shared" ca="1" si="9"/>
        <v>-6.4576274143994153E-2</v>
      </c>
      <c r="G139">
        <f t="shared" ca="1" si="10"/>
        <v>-3.1424263041978644E-2</v>
      </c>
      <c r="H139" t="str">
        <f t="shared" si="11"/>
        <v>0-0.05</v>
      </c>
    </row>
    <row r="140" spans="1:8" x14ac:dyDescent="0.35">
      <c r="A140" t="s">
        <v>367</v>
      </c>
      <c r="B140" t="s">
        <v>368</v>
      </c>
      <c r="C140">
        <v>1.885E-3</v>
      </c>
      <c r="D140" t="s">
        <v>62</v>
      </c>
      <c r="E140">
        <f t="shared" ca="1" si="8"/>
        <v>2.6868214641204147E-2</v>
      </c>
      <c r="F140">
        <f t="shared" ca="1" si="9"/>
        <v>-7.3907719956855439E-2</v>
      </c>
      <c r="G140">
        <f t="shared" ca="1" si="10"/>
        <v>-2.3519752657825646E-2</v>
      </c>
      <c r="H140" t="str">
        <f t="shared" si="11"/>
        <v>0-0.05</v>
      </c>
    </row>
    <row r="141" spans="1:8" x14ac:dyDescent="0.35">
      <c r="A141" t="s">
        <v>369</v>
      </c>
      <c r="B141" t="s">
        <v>370</v>
      </c>
      <c r="C141">
        <v>4.9799999999999997E-2</v>
      </c>
      <c r="D141" t="s">
        <v>371</v>
      </c>
      <c r="E141">
        <f t="shared" ca="1" si="8"/>
        <v>3.3598141072999278E-2</v>
      </c>
      <c r="F141">
        <f t="shared" ca="1" si="9"/>
        <v>7.8750318771646219E-2</v>
      </c>
      <c r="G141">
        <f t="shared" ca="1" si="10"/>
        <v>5.6174229922322752E-2</v>
      </c>
      <c r="H141" t="str">
        <f t="shared" si="11"/>
        <v>0-0.05</v>
      </c>
    </row>
    <row r="142" spans="1:8" x14ac:dyDescent="0.35">
      <c r="A142" t="s">
        <v>372</v>
      </c>
      <c r="B142" t="s">
        <v>373</v>
      </c>
      <c r="C142">
        <v>2.2479999999999999E-4</v>
      </c>
      <c r="D142" t="s">
        <v>203</v>
      </c>
      <c r="E142">
        <f t="shared" ca="1" si="8"/>
        <v>1.6616442982157796E-3</v>
      </c>
      <c r="F142">
        <f t="shared" ca="1" si="9"/>
        <v>-7.4892861523842613E-2</v>
      </c>
      <c r="G142">
        <f t="shared" ca="1" si="10"/>
        <v>-3.6615608612813419E-2</v>
      </c>
      <c r="H142" t="str">
        <f t="shared" si="11"/>
        <v>0-0.05</v>
      </c>
    </row>
    <row r="143" spans="1:8" x14ac:dyDescent="0.35">
      <c r="A143" t="s">
        <v>374</v>
      </c>
      <c r="B143" t="s">
        <v>375</v>
      </c>
      <c r="C143">
        <v>5.1470000000000002E-2</v>
      </c>
      <c r="D143" t="s">
        <v>376</v>
      </c>
      <c r="E143">
        <f t="shared" ca="1" si="8"/>
        <v>8.7508965899705138E-2</v>
      </c>
      <c r="F143">
        <f t="shared" ca="1" si="9"/>
        <v>-4.8032482116190892E-2</v>
      </c>
      <c r="G143">
        <f t="shared" ca="1" si="10"/>
        <v>1.9738241891757123E-2</v>
      </c>
      <c r="H143" t="str">
        <f t="shared" si="11"/>
        <v>0.05-0.5</v>
      </c>
    </row>
    <row r="144" spans="1:8" x14ac:dyDescent="0.35">
      <c r="A144" t="s">
        <v>377</v>
      </c>
      <c r="B144" t="s">
        <v>378</v>
      </c>
      <c r="C144">
        <v>1.908E-2</v>
      </c>
      <c r="D144" t="s">
        <v>166</v>
      </c>
      <c r="E144">
        <f t="shared" ca="1" si="8"/>
        <v>4.5292293401355654E-2</v>
      </c>
      <c r="F144">
        <f t="shared" ca="1" si="9"/>
        <v>-5.6543405575192662E-2</v>
      </c>
      <c r="G144">
        <f t="shared" ca="1" si="10"/>
        <v>-5.625556086918504E-3</v>
      </c>
      <c r="H144" t="str">
        <f t="shared" si="11"/>
        <v>0-0.05</v>
      </c>
    </row>
    <row r="145" spans="1:8" x14ac:dyDescent="0.35">
      <c r="A145" t="s">
        <v>379</v>
      </c>
      <c r="B145" t="s">
        <v>380</v>
      </c>
      <c r="C145">
        <v>1.9529999999999999E-2</v>
      </c>
      <c r="D145" t="s">
        <v>23</v>
      </c>
      <c r="E145">
        <f t="shared" ca="1" si="8"/>
        <v>4.2909581538228769E-2</v>
      </c>
      <c r="F145">
        <f t="shared" ca="1" si="9"/>
        <v>9.1628035887270698E-2</v>
      </c>
      <c r="G145">
        <f t="shared" ca="1" si="10"/>
        <v>6.7268808712749734E-2</v>
      </c>
      <c r="H145" t="str">
        <f t="shared" si="11"/>
        <v>0-0.05</v>
      </c>
    </row>
    <row r="146" spans="1:8" x14ac:dyDescent="0.35">
      <c r="A146" t="s">
        <v>381</v>
      </c>
      <c r="B146" t="s">
        <v>381</v>
      </c>
      <c r="C146">
        <v>5.3982000000000002E-2</v>
      </c>
      <c r="D146" t="s">
        <v>245</v>
      </c>
      <c r="E146">
        <f t="shared" ca="1" si="8"/>
        <v>-3.6201788684231163E-2</v>
      </c>
      <c r="F146">
        <f t="shared" ca="1" si="9"/>
        <v>-3.7334584619156959E-2</v>
      </c>
      <c r="G146">
        <f t="shared" ca="1" si="10"/>
        <v>-3.6768186651694061E-2</v>
      </c>
      <c r="H146" t="str">
        <f t="shared" si="11"/>
        <v>0.05-0.5</v>
      </c>
    </row>
    <row r="147" spans="1:8" x14ac:dyDescent="0.35">
      <c r="A147" t="s">
        <v>382</v>
      </c>
      <c r="B147" t="s">
        <v>383</v>
      </c>
      <c r="C147">
        <v>2.34</v>
      </c>
      <c r="D147" t="s">
        <v>308</v>
      </c>
      <c r="E147">
        <f t="shared" ca="1" si="8"/>
        <v>3.7342933604245329E-2</v>
      </c>
      <c r="F147">
        <f t="shared" ca="1" si="9"/>
        <v>-5.2449552276198921E-2</v>
      </c>
      <c r="G147">
        <f t="shared" ca="1" si="10"/>
        <v>-7.5533093359767961E-3</v>
      </c>
      <c r="H147" t="str">
        <f t="shared" si="11"/>
        <v>0.5-5</v>
      </c>
    </row>
    <row r="148" spans="1:8" x14ac:dyDescent="0.35">
      <c r="A148" t="s">
        <v>384</v>
      </c>
      <c r="B148" t="s">
        <v>385</v>
      </c>
      <c r="C148">
        <v>3.3210000000000003E-2</v>
      </c>
      <c r="D148" t="s">
        <v>386</v>
      </c>
      <c r="E148">
        <f t="shared" ca="1" si="8"/>
        <v>-3.2693036569327628E-3</v>
      </c>
      <c r="F148">
        <f t="shared" ca="1" si="9"/>
        <v>-7.1811210775154372E-2</v>
      </c>
      <c r="G148">
        <f t="shared" ca="1" si="10"/>
        <v>-3.7540257216043565E-2</v>
      </c>
      <c r="H148" t="str">
        <f t="shared" si="11"/>
        <v>0-0.05</v>
      </c>
    </row>
    <row r="149" spans="1:8" x14ac:dyDescent="0.35">
      <c r="A149" t="s">
        <v>387</v>
      </c>
      <c r="B149" t="s">
        <v>388</v>
      </c>
      <c r="C149">
        <v>2.1639999999999999E-5</v>
      </c>
      <c r="D149" t="s">
        <v>18</v>
      </c>
      <c r="E149">
        <f t="shared" ca="1" si="8"/>
        <v>2.693905883503489E-2</v>
      </c>
      <c r="F149">
        <f t="shared" ca="1" si="9"/>
        <v>6.5080803549799976E-2</v>
      </c>
      <c r="G149">
        <f t="shared" ca="1" si="10"/>
        <v>4.6009931192417433E-2</v>
      </c>
      <c r="H149" t="str">
        <f t="shared" si="11"/>
        <v>0-0.05</v>
      </c>
    </row>
    <row r="150" spans="1:8" x14ac:dyDescent="0.35">
      <c r="A150" t="s">
        <v>389</v>
      </c>
      <c r="B150" t="s">
        <v>390</v>
      </c>
      <c r="C150">
        <v>8.2830000000000001E-2</v>
      </c>
      <c r="D150" t="s">
        <v>391</v>
      </c>
      <c r="E150">
        <f t="shared" ca="1" si="8"/>
        <v>2.7636249034351097E-2</v>
      </c>
      <c r="F150">
        <f t="shared" ca="1" si="9"/>
        <v>0.10077747089809236</v>
      </c>
      <c r="G150">
        <f t="shared" ca="1" si="10"/>
        <v>6.4206859966221733E-2</v>
      </c>
      <c r="H150" t="str">
        <f t="shared" si="11"/>
        <v>0.05-0.5</v>
      </c>
    </row>
    <row r="151" spans="1:8" x14ac:dyDescent="0.35">
      <c r="A151" t="s">
        <v>392</v>
      </c>
      <c r="B151" t="s">
        <v>392</v>
      </c>
      <c r="C151">
        <v>0.53049999999999997</v>
      </c>
      <c r="D151" t="s">
        <v>393</v>
      </c>
      <c r="E151">
        <f t="shared" ca="1" si="8"/>
        <v>3.6289724348362244E-2</v>
      </c>
      <c r="F151">
        <f t="shared" ca="1" si="9"/>
        <v>-4.9736499505298952E-2</v>
      </c>
      <c r="G151">
        <f t="shared" ca="1" si="10"/>
        <v>-6.7233875784683539E-3</v>
      </c>
      <c r="H151" t="str">
        <f t="shared" si="11"/>
        <v>0.5-5</v>
      </c>
    </row>
    <row r="152" spans="1:8" x14ac:dyDescent="0.35">
      <c r="A152" t="s">
        <v>394</v>
      </c>
      <c r="B152" t="s">
        <v>395</v>
      </c>
      <c r="C152">
        <v>8.4449999999999994E-3</v>
      </c>
      <c r="D152" t="s">
        <v>145</v>
      </c>
      <c r="E152">
        <f t="shared" ca="1" si="8"/>
        <v>-1.6490571970654289E-3</v>
      </c>
      <c r="F152">
        <f t="shared" ca="1" si="9"/>
        <v>5.3080685081393408E-2</v>
      </c>
      <c r="G152">
        <f t="shared" ca="1" si="10"/>
        <v>2.571581394216399E-2</v>
      </c>
      <c r="H152" t="str">
        <f t="shared" si="11"/>
        <v>0-0.05</v>
      </c>
    </row>
    <row r="153" spans="1:8" x14ac:dyDescent="0.35">
      <c r="A153" t="s">
        <v>396</v>
      </c>
      <c r="B153" t="s">
        <v>397</v>
      </c>
      <c r="C153">
        <v>2.8370000000000001E-5</v>
      </c>
      <c r="D153" t="s">
        <v>366</v>
      </c>
      <c r="E153">
        <f t="shared" ca="1" si="8"/>
        <v>-2.6744702538605204E-2</v>
      </c>
      <c r="F153">
        <f t="shared" ca="1" si="9"/>
        <v>9.5174743228224317E-4</v>
      </c>
      <c r="G153">
        <f t="shared" ca="1" si="10"/>
        <v>-1.289647755316148E-2</v>
      </c>
      <c r="H153" t="str">
        <f t="shared" si="11"/>
        <v>0-0.05</v>
      </c>
    </row>
    <row r="154" spans="1:8" x14ac:dyDescent="0.35">
      <c r="A154" t="s">
        <v>398</v>
      </c>
      <c r="B154" t="s">
        <v>399</v>
      </c>
      <c r="C154">
        <v>8.03E-4</v>
      </c>
      <c r="D154" t="s">
        <v>145</v>
      </c>
      <c r="E154">
        <f t="shared" ca="1" si="8"/>
        <v>-2.1659118496292731E-2</v>
      </c>
      <c r="F154">
        <f t="shared" ca="1" si="9"/>
        <v>2.3236771568771596E-2</v>
      </c>
      <c r="G154">
        <f t="shared" ca="1" si="10"/>
        <v>7.8882653623943248E-4</v>
      </c>
      <c r="H154" t="str">
        <f t="shared" si="11"/>
        <v>0-0.05</v>
      </c>
    </row>
    <row r="155" spans="1:8" x14ac:dyDescent="0.35">
      <c r="A155" t="s">
        <v>400</v>
      </c>
      <c r="B155" t="s">
        <v>401</v>
      </c>
      <c r="C155">
        <v>1.094E-2</v>
      </c>
      <c r="D155" t="s">
        <v>402</v>
      </c>
      <c r="E155">
        <f t="shared" ca="1" si="8"/>
        <v>4.1729398027747479E-2</v>
      </c>
      <c r="F155">
        <f t="shared" ca="1" si="9"/>
        <v>8.1311874481367244E-2</v>
      </c>
      <c r="G155">
        <f t="shared" ca="1" si="10"/>
        <v>6.1520636254557365E-2</v>
      </c>
      <c r="H155" t="str">
        <f t="shared" si="11"/>
        <v>0-0.05</v>
      </c>
    </row>
    <row r="156" spans="1:8" x14ac:dyDescent="0.35">
      <c r="A156" t="s">
        <v>403</v>
      </c>
      <c r="B156" t="s">
        <v>404</v>
      </c>
      <c r="C156">
        <v>0.17610000000000001</v>
      </c>
      <c r="D156" t="s">
        <v>405</v>
      </c>
      <c r="E156">
        <f t="shared" ca="1" si="8"/>
        <v>2.8749848673080673E-2</v>
      </c>
      <c r="F156">
        <f t="shared" ca="1" si="9"/>
        <v>-5.9831748786111097E-2</v>
      </c>
      <c r="G156">
        <f t="shared" ca="1" si="10"/>
        <v>-1.5540950056515212E-2</v>
      </c>
      <c r="H156" t="str">
        <f t="shared" si="11"/>
        <v>0.05-0.5</v>
      </c>
    </row>
    <row r="157" spans="1:8" x14ac:dyDescent="0.35">
      <c r="A157" t="s">
        <v>406</v>
      </c>
      <c r="B157" t="s">
        <v>407</v>
      </c>
      <c r="C157">
        <v>1.286E-2</v>
      </c>
      <c r="D157" t="s">
        <v>145</v>
      </c>
      <c r="E157">
        <f t="shared" ca="1" si="8"/>
        <v>-2.6144878673833305E-2</v>
      </c>
      <c r="F157">
        <f t="shared" ca="1" si="9"/>
        <v>2.1433111911724964E-2</v>
      </c>
      <c r="G157">
        <f t="shared" ca="1" si="10"/>
        <v>-2.3558833810541704E-3</v>
      </c>
      <c r="H157" t="str">
        <f t="shared" si="11"/>
        <v>0-0.05</v>
      </c>
    </row>
    <row r="158" spans="1:8" x14ac:dyDescent="0.35">
      <c r="A158" t="s">
        <v>408</v>
      </c>
      <c r="B158" t="s">
        <v>409</v>
      </c>
      <c r="C158">
        <v>7.7060000000000002E-3</v>
      </c>
      <c r="D158" t="s">
        <v>410</v>
      </c>
      <c r="E158">
        <f t="shared" ca="1" si="8"/>
        <v>-3.3240016470410465E-2</v>
      </c>
      <c r="F158">
        <f t="shared" ca="1" si="9"/>
        <v>3.3132665312412331E-2</v>
      </c>
      <c r="G158">
        <f t="shared" ca="1" si="10"/>
        <v>-5.3675578999066997E-5</v>
      </c>
      <c r="H158" t="str">
        <f t="shared" si="11"/>
        <v>0-0.05</v>
      </c>
    </row>
    <row r="159" spans="1:8" x14ac:dyDescent="0.35">
      <c r="A159" t="s">
        <v>411</v>
      </c>
      <c r="B159" t="s">
        <v>412</v>
      </c>
      <c r="C159">
        <v>1.06E-2</v>
      </c>
      <c r="D159" t="s">
        <v>139</v>
      </c>
      <c r="E159">
        <f t="shared" ca="1" si="8"/>
        <v>5.6824805785139793E-2</v>
      </c>
      <c r="F159">
        <f t="shared" ca="1" si="9"/>
        <v>3.3679160204391254E-2</v>
      </c>
      <c r="G159">
        <f t="shared" ca="1" si="10"/>
        <v>4.5251982994765523E-2</v>
      </c>
      <c r="H159" t="str">
        <f t="shared" si="11"/>
        <v>0-0.05</v>
      </c>
    </row>
    <row r="160" spans="1:8" x14ac:dyDescent="0.35">
      <c r="A160" t="s">
        <v>413</v>
      </c>
      <c r="B160" t="s">
        <v>414</v>
      </c>
      <c r="C160">
        <v>7.4697E-2</v>
      </c>
      <c r="D160" t="s">
        <v>264</v>
      </c>
      <c r="E160">
        <f t="shared" ca="1" si="8"/>
        <v>2.1816636986400573E-2</v>
      </c>
      <c r="F160">
        <f t="shared" ca="1" si="9"/>
        <v>2.1893763112059737E-2</v>
      </c>
      <c r="G160">
        <f t="shared" ca="1" si="10"/>
        <v>2.1855200049230153E-2</v>
      </c>
      <c r="H160" t="str">
        <f t="shared" si="11"/>
        <v>0.05-0.5</v>
      </c>
    </row>
    <row r="161" spans="1:8" x14ac:dyDescent="0.35">
      <c r="A161" t="s">
        <v>415</v>
      </c>
      <c r="B161" t="s">
        <v>416</v>
      </c>
      <c r="C161">
        <v>6.9080000000000001E-3</v>
      </c>
      <c r="D161" t="s">
        <v>308</v>
      </c>
      <c r="E161">
        <f t="shared" ca="1" si="8"/>
        <v>1.5293478767800127E-2</v>
      </c>
      <c r="F161">
        <f t="shared" ca="1" si="9"/>
        <v>7.9315242014160903E-2</v>
      </c>
      <c r="G161">
        <f t="shared" ca="1" si="10"/>
        <v>4.7304360390980515E-2</v>
      </c>
      <c r="H161" t="str">
        <f t="shared" si="11"/>
        <v>0-0.05</v>
      </c>
    </row>
    <row r="162" spans="1:8" x14ac:dyDescent="0.35">
      <c r="A162" t="s">
        <v>417</v>
      </c>
      <c r="B162" t="s">
        <v>418</v>
      </c>
      <c r="C162">
        <v>2.632E-2</v>
      </c>
      <c r="D162" t="s">
        <v>419</v>
      </c>
      <c r="E162">
        <f t="shared" ca="1" si="8"/>
        <v>7.5453513999078348E-2</v>
      </c>
      <c r="F162">
        <f t="shared" ca="1" si="9"/>
        <v>4.3566311940411509E-2</v>
      </c>
      <c r="G162">
        <f t="shared" ca="1" si="10"/>
        <v>5.9509912969744928E-2</v>
      </c>
      <c r="H162" t="str">
        <f t="shared" si="11"/>
        <v>0-0.05</v>
      </c>
    </row>
    <row r="163" spans="1:8" x14ac:dyDescent="0.35">
      <c r="A163" t="s">
        <v>420</v>
      </c>
      <c r="B163" t="s">
        <v>421</v>
      </c>
      <c r="C163">
        <v>4.2319999999999999E-4</v>
      </c>
      <c r="D163" t="s">
        <v>422</v>
      </c>
      <c r="E163">
        <f t="shared" ca="1" si="8"/>
        <v>-2.8283954744550484E-2</v>
      </c>
      <c r="F163">
        <f t="shared" ca="1" si="9"/>
        <v>6.2716743690981402E-2</v>
      </c>
      <c r="G163">
        <f t="shared" ca="1" si="10"/>
        <v>1.7216394473215459E-2</v>
      </c>
      <c r="H163" t="str">
        <f t="shared" si="11"/>
        <v>0-0.05</v>
      </c>
    </row>
    <row r="164" spans="1:8" x14ac:dyDescent="0.35">
      <c r="A164" t="s">
        <v>423</v>
      </c>
      <c r="B164" t="s">
        <v>424</v>
      </c>
      <c r="C164">
        <v>8.6726999999999999E-2</v>
      </c>
      <c r="D164" t="s">
        <v>80</v>
      </c>
      <c r="E164">
        <f t="shared" ca="1" si="8"/>
        <v>7.223477622486707E-3</v>
      </c>
      <c r="F164">
        <f t="shared" ca="1" si="9"/>
        <v>6.169641109987456E-2</v>
      </c>
      <c r="G164">
        <f t="shared" ca="1" si="10"/>
        <v>3.4459944361180633E-2</v>
      </c>
      <c r="H164" t="str">
        <f t="shared" si="11"/>
        <v>0.05-0.5</v>
      </c>
    </row>
    <row r="165" spans="1:8" x14ac:dyDescent="0.35">
      <c r="A165" t="s">
        <v>425</v>
      </c>
      <c r="B165" t="s">
        <v>425</v>
      </c>
      <c r="C165">
        <v>2.2959999999999999E-3</v>
      </c>
      <c r="D165" t="s">
        <v>18</v>
      </c>
      <c r="E165">
        <f t="shared" ca="1" si="8"/>
        <v>3.8243456781879612E-2</v>
      </c>
      <c r="F165">
        <f t="shared" ca="1" si="9"/>
        <v>-5.6882381842582833E-2</v>
      </c>
      <c r="G165">
        <f t="shared" ca="1" si="10"/>
        <v>-9.3194625303516104E-3</v>
      </c>
      <c r="H165" t="str">
        <f t="shared" si="11"/>
        <v>0-0.05</v>
      </c>
    </row>
    <row r="166" spans="1:8" x14ac:dyDescent="0.35">
      <c r="A166" t="s">
        <v>426</v>
      </c>
      <c r="B166" t="s">
        <v>427</v>
      </c>
      <c r="C166">
        <v>5.638E-2</v>
      </c>
      <c r="D166" t="s">
        <v>428</v>
      </c>
      <c r="E166">
        <f t="shared" ca="1" si="8"/>
        <v>2.3852689167445516E-2</v>
      </c>
      <c r="F166">
        <f t="shared" ca="1" si="9"/>
        <v>-6.1229654727923202E-3</v>
      </c>
      <c r="G166">
        <f t="shared" ca="1" si="10"/>
        <v>8.8648618473265977E-3</v>
      </c>
      <c r="H166" t="str">
        <f t="shared" si="11"/>
        <v>0.05-0.5</v>
      </c>
    </row>
    <row r="167" spans="1:8" x14ac:dyDescent="0.35">
      <c r="A167" t="s">
        <v>429</v>
      </c>
      <c r="B167" t="s">
        <v>430</v>
      </c>
      <c r="C167">
        <v>4.8439999999999997E-2</v>
      </c>
      <c r="D167" t="s">
        <v>264</v>
      </c>
      <c r="E167">
        <f t="shared" ca="1" si="8"/>
        <v>-2.3390710649991996E-2</v>
      </c>
      <c r="F167">
        <f t="shared" ca="1" si="9"/>
        <v>-4.656498712209959E-2</v>
      </c>
      <c r="G167">
        <f t="shared" ca="1" si="10"/>
        <v>-3.4977848886045791E-2</v>
      </c>
      <c r="H167" t="str">
        <f t="shared" si="11"/>
        <v>0-0.05</v>
      </c>
    </row>
    <row r="168" spans="1:8" x14ac:dyDescent="0.35">
      <c r="A168" t="s">
        <v>431</v>
      </c>
      <c r="B168" t="s">
        <v>432</v>
      </c>
      <c r="C168">
        <v>5.2623999999999997E-2</v>
      </c>
      <c r="D168" t="s">
        <v>14</v>
      </c>
      <c r="E168">
        <f t="shared" ca="1" si="8"/>
        <v>-2.9330157925515576E-2</v>
      </c>
      <c r="F168">
        <f t="shared" ca="1" si="9"/>
        <v>-8.8339955532435233E-2</v>
      </c>
      <c r="G168">
        <f t="shared" ca="1" si="10"/>
        <v>-5.8835056728975405E-2</v>
      </c>
      <c r="H168" t="str">
        <f t="shared" si="11"/>
        <v>0.05-0.5</v>
      </c>
    </row>
    <row r="169" spans="1:8" x14ac:dyDescent="0.35">
      <c r="A169" t="s">
        <v>433</v>
      </c>
      <c r="B169" t="s">
        <v>434</v>
      </c>
      <c r="C169">
        <v>2.5270000000000002E-3</v>
      </c>
      <c r="D169" t="s">
        <v>435</v>
      </c>
      <c r="E169">
        <f t="shared" ca="1" si="8"/>
        <v>4.1322586056534015E-2</v>
      </c>
      <c r="F169">
        <f t="shared" ca="1" si="9"/>
        <v>-2.1763945535186742E-2</v>
      </c>
      <c r="G169">
        <f t="shared" ca="1" si="10"/>
        <v>9.7793202606736365E-3</v>
      </c>
      <c r="H169" t="str">
        <f t="shared" si="11"/>
        <v>0-0.05</v>
      </c>
    </row>
    <row r="170" spans="1:8" x14ac:dyDescent="0.35">
      <c r="A170" t="s">
        <v>436</v>
      </c>
      <c r="B170" t="s">
        <v>437</v>
      </c>
      <c r="C170">
        <v>2.283E-2</v>
      </c>
      <c r="D170" t="s">
        <v>93</v>
      </c>
      <c r="E170">
        <f t="shared" ca="1" si="8"/>
        <v>1.4194096168630807E-2</v>
      </c>
      <c r="F170">
        <f t="shared" ca="1" si="9"/>
        <v>5.8563310683215186E-2</v>
      </c>
      <c r="G170">
        <f t="shared" ca="1" si="10"/>
        <v>3.6378703425922997E-2</v>
      </c>
      <c r="H170" t="str">
        <f t="shared" si="11"/>
        <v>0-0.05</v>
      </c>
    </row>
    <row r="171" spans="1:8" x14ac:dyDescent="0.35">
      <c r="A171" t="s">
        <v>438</v>
      </c>
      <c r="B171" t="s">
        <v>438</v>
      </c>
      <c r="C171">
        <v>2.6020000000000001E-3</v>
      </c>
      <c r="D171" t="s">
        <v>439</v>
      </c>
      <c r="E171">
        <f t="shared" ca="1" si="8"/>
        <v>1.5024202473749176E-2</v>
      </c>
      <c r="F171">
        <f t="shared" ca="1" si="9"/>
        <v>3.8372326349192564E-3</v>
      </c>
      <c r="G171">
        <f t="shared" ca="1" si="10"/>
        <v>9.4307175543342156E-3</v>
      </c>
      <c r="H171" t="str">
        <f t="shared" si="11"/>
        <v>0-0.05</v>
      </c>
    </row>
    <row r="172" spans="1:8" x14ac:dyDescent="0.35">
      <c r="A172" t="s">
        <v>440</v>
      </c>
      <c r="B172" t="s">
        <v>440</v>
      </c>
      <c r="C172">
        <v>1.772E-2</v>
      </c>
      <c r="D172" t="s">
        <v>441</v>
      </c>
      <c r="E172">
        <f t="shared" ca="1" si="8"/>
        <v>7.6324506517480382E-3</v>
      </c>
      <c r="F172">
        <f t="shared" ca="1" si="9"/>
        <v>-3.7640113418439577E-2</v>
      </c>
      <c r="G172">
        <f t="shared" ca="1" si="10"/>
        <v>-1.5003831383345771E-2</v>
      </c>
      <c r="H172" t="str">
        <f t="shared" si="11"/>
        <v>0-0.05</v>
      </c>
    </row>
    <row r="173" spans="1:8" x14ac:dyDescent="0.35">
      <c r="A173" t="s">
        <v>442</v>
      </c>
      <c r="B173" t="s">
        <v>443</v>
      </c>
      <c r="C173">
        <v>2.003E-3</v>
      </c>
      <c r="D173" t="s">
        <v>250</v>
      </c>
      <c r="E173">
        <f t="shared" ca="1" si="8"/>
        <v>-2.9273063584684768E-2</v>
      </c>
      <c r="F173">
        <f t="shared" ca="1" si="9"/>
        <v>0.10745929169104965</v>
      </c>
      <c r="G173">
        <f t="shared" ca="1" si="10"/>
        <v>3.9093114053182443E-2</v>
      </c>
      <c r="H173" t="str">
        <f t="shared" si="11"/>
        <v>0-0.05</v>
      </c>
    </row>
    <row r="174" spans="1:8" x14ac:dyDescent="0.35">
      <c r="A174" t="s">
        <v>444</v>
      </c>
      <c r="B174" t="s">
        <v>445</v>
      </c>
      <c r="C174">
        <v>0.73839999999999995</v>
      </c>
      <c r="D174" t="s">
        <v>410</v>
      </c>
      <c r="E174">
        <f t="shared" ca="1" si="8"/>
        <v>3.6612235993129759E-2</v>
      </c>
      <c r="F174">
        <f t="shared" ca="1" si="9"/>
        <v>-5.8765017371988554E-2</v>
      </c>
      <c r="G174">
        <f t="shared" ca="1" si="10"/>
        <v>-1.1076390689429397E-2</v>
      </c>
      <c r="H174" t="str">
        <f t="shared" si="11"/>
        <v>0.5-5</v>
      </c>
    </row>
    <row r="175" spans="1:8" x14ac:dyDescent="0.35">
      <c r="A175" t="s">
        <v>446</v>
      </c>
      <c r="B175" t="s">
        <v>446</v>
      </c>
      <c r="C175">
        <v>2.032E-3</v>
      </c>
      <c r="D175" t="s">
        <v>447</v>
      </c>
      <c r="E175">
        <f t="shared" ca="1" si="8"/>
        <v>5.8825146367998737E-2</v>
      </c>
      <c r="F175">
        <f t="shared" ca="1" si="9"/>
        <v>-6.5195955414951323E-2</v>
      </c>
      <c r="G175">
        <f t="shared" ca="1" si="10"/>
        <v>-3.1854045234762929E-3</v>
      </c>
      <c r="H175" t="str">
        <f t="shared" si="11"/>
        <v>0-0.05</v>
      </c>
    </row>
    <row r="176" spans="1:8" x14ac:dyDescent="0.35">
      <c r="A176" t="s">
        <v>448</v>
      </c>
      <c r="B176" t="s">
        <v>449</v>
      </c>
      <c r="C176">
        <v>4.5649999999999996E-3</v>
      </c>
      <c r="D176" t="s">
        <v>18</v>
      </c>
      <c r="E176">
        <f t="shared" ca="1" si="8"/>
        <v>-3.7907084111561053E-2</v>
      </c>
      <c r="F176">
        <f t="shared" ca="1" si="9"/>
        <v>5.5873560136707211E-2</v>
      </c>
      <c r="G176">
        <f t="shared" ca="1" si="10"/>
        <v>8.983238012573079E-3</v>
      </c>
      <c r="H176" t="str">
        <f t="shared" si="11"/>
        <v>0-0.05</v>
      </c>
    </row>
    <row r="177" spans="1:8" x14ac:dyDescent="0.35">
      <c r="A177" t="s">
        <v>450</v>
      </c>
      <c r="B177" t="s">
        <v>451</v>
      </c>
      <c r="C177">
        <v>3.1009999999999999E-2</v>
      </c>
      <c r="D177" t="s">
        <v>452</v>
      </c>
      <c r="E177">
        <f t="shared" ca="1" si="8"/>
        <v>4.9068350608496514E-2</v>
      </c>
      <c r="F177">
        <f t="shared" ca="1" si="9"/>
        <v>8.770476466212751E-2</v>
      </c>
      <c r="G177">
        <f t="shared" ca="1" si="10"/>
        <v>6.8386557635312012E-2</v>
      </c>
      <c r="H177" t="str">
        <f t="shared" si="11"/>
        <v>0-0.05</v>
      </c>
    </row>
    <row r="178" spans="1:8" x14ac:dyDescent="0.35">
      <c r="A178" t="s">
        <v>453</v>
      </c>
      <c r="B178" t="s">
        <v>454</v>
      </c>
      <c r="C178">
        <v>1.5070000000000001E-3</v>
      </c>
      <c r="D178" t="s">
        <v>23</v>
      </c>
      <c r="E178">
        <f t="shared" ca="1" si="8"/>
        <v>-2.6226250546396233E-2</v>
      </c>
      <c r="F178">
        <f t="shared" ca="1" si="9"/>
        <v>9.5586263137771355E-2</v>
      </c>
      <c r="G178">
        <f t="shared" ca="1" si="10"/>
        <v>3.4680006295687557E-2</v>
      </c>
      <c r="H178" t="str">
        <f t="shared" si="11"/>
        <v>0-0.05</v>
      </c>
    </row>
    <row r="179" spans="1:8" x14ac:dyDescent="0.35">
      <c r="A179" t="s">
        <v>455</v>
      </c>
      <c r="B179" t="s">
        <v>456</v>
      </c>
      <c r="C179">
        <v>0.1976</v>
      </c>
      <c r="D179" t="s">
        <v>457</v>
      </c>
      <c r="E179">
        <f t="shared" ca="1" si="8"/>
        <v>4.2641621035753363E-2</v>
      </c>
      <c r="F179">
        <f t="shared" ca="1" si="9"/>
        <v>4.9785066202265096E-2</v>
      </c>
      <c r="G179">
        <f t="shared" ca="1" si="10"/>
        <v>4.621334361900923E-2</v>
      </c>
      <c r="H179" t="str">
        <f t="shared" si="11"/>
        <v>0.05-0.5</v>
      </c>
    </row>
    <row r="180" spans="1:8" x14ac:dyDescent="0.35">
      <c r="A180" t="s">
        <v>458</v>
      </c>
      <c r="B180" t="s">
        <v>459</v>
      </c>
      <c r="C180">
        <v>2.4190000000000001E-3</v>
      </c>
      <c r="D180" t="s">
        <v>422</v>
      </c>
      <c r="E180">
        <f t="shared" ca="1" si="8"/>
        <v>1.3870070967566782E-3</v>
      </c>
      <c r="F180">
        <f t="shared" ca="1" si="9"/>
        <v>-6.2075591896490132E-3</v>
      </c>
      <c r="G180">
        <f t="shared" ca="1" si="10"/>
        <v>-2.4102760464461675E-3</v>
      </c>
      <c r="H180" t="str">
        <f t="shared" si="11"/>
        <v>0-0.05</v>
      </c>
    </row>
    <row r="181" spans="1:8" x14ac:dyDescent="0.35">
      <c r="A181" t="s">
        <v>460</v>
      </c>
      <c r="B181" t="s">
        <v>461</v>
      </c>
      <c r="C181">
        <v>3.1489999999999999E-3</v>
      </c>
      <c r="D181" t="s">
        <v>80</v>
      </c>
      <c r="E181">
        <f t="shared" ca="1" si="8"/>
        <v>3.2915402595975342E-2</v>
      </c>
      <c r="F181">
        <f t="shared" ca="1" si="9"/>
        <v>2.7888597749843692E-2</v>
      </c>
      <c r="G181">
        <f t="shared" ca="1" si="10"/>
        <v>3.0402000172909519E-2</v>
      </c>
      <c r="H181" t="str">
        <f t="shared" si="11"/>
        <v>0-0.05</v>
      </c>
    </row>
    <row r="182" spans="1:8" x14ac:dyDescent="0.35">
      <c r="A182" t="s">
        <v>462</v>
      </c>
      <c r="B182" t="s">
        <v>463</v>
      </c>
      <c r="C182">
        <v>7.8279999999999999E-3</v>
      </c>
      <c r="D182" t="s">
        <v>464</v>
      </c>
      <c r="E182">
        <f t="shared" ca="1" si="8"/>
        <v>0.20709086910538188</v>
      </c>
      <c r="F182">
        <f t="shared" ca="1" si="9"/>
        <v>0.23293658785100468</v>
      </c>
      <c r="G182">
        <f t="shared" ca="1" si="10"/>
        <v>0.22001372847819328</v>
      </c>
      <c r="H182" t="str">
        <f t="shared" si="11"/>
        <v>0-0.05</v>
      </c>
    </row>
    <row r="183" spans="1:8" x14ac:dyDescent="0.35">
      <c r="A183" t="s">
        <v>465</v>
      </c>
      <c r="B183" t="s">
        <v>466</v>
      </c>
      <c r="C183">
        <v>6.6490000000000004E-3</v>
      </c>
      <c r="D183" t="s">
        <v>80</v>
      </c>
      <c r="E183">
        <f t="shared" ca="1" si="8"/>
        <v>1.1983841010417596E-2</v>
      </c>
      <c r="F183">
        <f t="shared" ca="1" si="9"/>
        <v>-8.9485086061268149E-2</v>
      </c>
      <c r="G183">
        <f t="shared" ca="1" si="10"/>
        <v>-3.8750622525425278E-2</v>
      </c>
      <c r="H183" t="str">
        <f t="shared" si="11"/>
        <v>0-0.05</v>
      </c>
    </row>
    <row r="184" spans="1:8" x14ac:dyDescent="0.35">
      <c r="A184" t="s">
        <v>467</v>
      </c>
      <c r="B184" t="s">
        <v>468</v>
      </c>
      <c r="C184">
        <v>9.6310000000000007E-3</v>
      </c>
      <c r="D184" t="s">
        <v>469</v>
      </c>
      <c r="E184">
        <f t="shared" ca="1" si="8"/>
        <v>3.8638720494519448E-2</v>
      </c>
      <c r="F184">
        <f t="shared" ca="1" si="9"/>
        <v>3.6470083932462734E-3</v>
      </c>
      <c r="G184">
        <f t="shared" ca="1" si="10"/>
        <v>2.1142864443882862E-2</v>
      </c>
      <c r="H184" t="str">
        <f t="shared" si="11"/>
        <v>0-0.05</v>
      </c>
    </row>
    <row r="185" spans="1:8" x14ac:dyDescent="0.35">
      <c r="A185" t="s">
        <v>470</v>
      </c>
      <c r="B185" t="s">
        <v>471</v>
      </c>
      <c r="C185">
        <v>5.9199999999999997E-4</v>
      </c>
      <c r="D185" t="s">
        <v>393</v>
      </c>
      <c r="E185">
        <f t="shared" ca="1" si="8"/>
        <v>2.2920893331201092E-2</v>
      </c>
      <c r="F185">
        <f t="shared" ca="1" si="9"/>
        <v>6.2832082057091995E-2</v>
      </c>
      <c r="G185">
        <f t="shared" ca="1" si="10"/>
        <v>4.2876487694146544E-2</v>
      </c>
      <c r="H185" t="str">
        <f t="shared" si="11"/>
        <v>0-0.05</v>
      </c>
    </row>
    <row r="186" spans="1:8" x14ac:dyDescent="0.35">
      <c r="A186" t="s">
        <v>472</v>
      </c>
      <c r="B186" t="s">
        <v>472</v>
      </c>
      <c r="C186">
        <v>3.4099999999999998E-3</v>
      </c>
      <c r="D186" t="s">
        <v>179</v>
      </c>
      <c r="E186">
        <f t="shared" ca="1" si="8"/>
        <v>-3.4406676417750318E-2</v>
      </c>
      <c r="F186">
        <f t="shared" ca="1" si="9"/>
        <v>8.9678524730632439E-2</v>
      </c>
      <c r="G186">
        <f t="shared" ca="1" si="10"/>
        <v>2.7635924156441061E-2</v>
      </c>
      <c r="H186" t="str">
        <f t="shared" si="11"/>
        <v>0-0.05</v>
      </c>
    </row>
    <row r="187" spans="1:8" x14ac:dyDescent="0.35">
      <c r="A187" t="s">
        <v>473</v>
      </c>
      <c r="B187" t="s">
        <v>474</v>
      </c>
      <c r="C187">
        <v>7.5139999999999998E-2</v>
      </c>
      <c r="D187" t="s">
        <v>62</v>
      </c>
      <c r="E187">
        <f t="shared" ca="1" si="8"/>
        <v>-3.1737335593517046E-2</v>
      </c>
      <c r="F187">
        <f t="shared" ca="1" si="9"/>
        <v>5.1534922598117573E-2</v>
      </c>
      <c r="G187">
        <f t="shared" ca="1" si="10"/>
        <v>9.8987935023002634E-3</v>
      </c>
      <c r="H187" t="str">
        <f t="shared" si="11"/>
        <v>0.05-0.5</v>
      </c>
    </row>
    <row r="188" spans="1:8" x14ac:dyDescent="0.35">
      <c r="A188" t="s">
        <v>475</v>
      </c>
      <c r="B188" t="s">
        <v>476</v>
      </c>
      <c r="C188">
        <v>7.633E-3</v>
      </c>
      <c r="D188" t="s">
        <v>477</v>
      </c>
      <c r="E188">
        <f t="shared" ca="1" si="8"/>
        <v>-1.3086229223591084E-2</v>
      </c>
      <c r="F188">
        <f t="shared" ca="1" si="9"/>
        <v>-6.7672013481078444E-2</v>
      </c>
      <c r="G188">
        <f t="shared" ca="1" si="10"/>
        <v>-4.0379121352334763E-2</v>
      </c>
      <c r="H188" t="str">
        <f t="shared" si="11"/>
        <v>0-0.05</v>
      </c>
    </row>
    <row r="189" spans="1:8" x14ac:dyDescent="0.35">
      <c r="A189" t="s">
        <v>478</v>
      </c>
      <c r="B189" t="s">
        <v>479</v>
      </c>
      <c r="C189">
        <v>6.391E-3</v>
      </c>
      <c r="D189" t="s">
        <v>80</v>
      </c>
      <c r="E189">
        <f t="shared" ca="1" si="8"/>
        <v>-1.2406948822201946E-3</v>
      </c>
      <c r="F189">
        <f t="shared" ca="1" si="9"/>
        <v>6.2277772226244869E-3</v>
      </c>
      <c r="G189">
        <f t="shared" ca="1" si="10"/>
        <v>2.4935411702021459E-3</v>
      </c>
      <c r="H189" t="str">
        <f t="shared" si="11"/>
        <v>0-0.05</v>
      </c>
    </row>
    <row r="190" spans="1:8" x14ac:dyDescent="0.35">
      <c r="A190" t="s">
        <v>480</v>
      </c>
      <c r="B190" t="s">
        <v>481</v>
      </c>
      <c r="C190">
        <v>3.8420000000000001E-4</v>
      </c>
      <c r="D190" t="s">
        <v>80</v>
      </c>
      <c r="E190">
        <f t="shared" ca="1" si="8"/>
        <v>9.388313652629765E-3</v>
      </c>
      <c r="F190">
        <f t="shared" ca="1" si="9"/>
        <v>1.0197522167359474E-2</v>
      </c>
      <c r="G190">
        <f t="shared" ca="1" si="10"/>
        <v>9.7929179099946195E-3</v>
      </c>
      <c r="H190" t="str">
        <f t="shared" si="11"/>
        <v>0-0.05</v>
      </c>
    </row>
    <row r="191" spans="1:8" x14ac:dyDescent="0.35">
      <c r="A191" t="s">
        <v>482</v>
      </c>
      <c r="B191" t="s">
        <v>483</v>
      </c>
      <c r="C191">
        <v>1.565E-3</v>
      </c>
      <c r="D191" t="s">
        <v>361</v>
      </c>
      <c r="E191">
        <f t="shared" ca="1" si="8"/>
        <v>-4.3161197046815133E-2</v>
      </c>
      <c r="F191">
        <f t="shared" ca="1" si="9"/>
        <v>-5.4733277188506381E-2</v>
      </c>
      <c r="G191">
        <f t="shared" ca="1" si="10"/>
        <v>-4.8947237117660761E-2</v>
      </c>
      <c r="H191" t="str">
        <f t="shared" si="11"/>
        <v>0-0.05</v>
      </c>
    </row>
    <row r="192" spans="1:8" x14ac:dyDescent="0.35">
      <c r="A192" t="s">
        <v>484</v>
      </c>
      <c r="B192" t="s">
        <v>484</v>
      </c>
      <c r="C192">
        <v>4.2460000000000002E-4</v>
      </c>
      <c r="D192" t="s">
        <v>301</v>
      </c>
      <c r="E192">
        <f t="shared" ca="1" si="8"/>
        <v>-4.7904173213417195E-2</v>
      </c>
      <c r="F192">
        <f t="shared" ca="1" si="9"/>
        <v>3.6936468662996665E-2</v>
      </c>
      <c r="G192">
        <f t="shared" ca="1" si="10"/>
        <v>-5.4838522752102652E-3</v>
      </c>
      <c r="H192" t="str">
        <f t="shared" si="11"/>
        <v>0-0.05</v>
      </c>
    </row>
    <row r="193" spans="1:8" x14ac:dyDescent="0.35">
      <c r="A193" t="s">
        <v>485</v>
      </c>
      <c r="B193" t="s">
        <v>486</v>
      </c>
      <c r="C193">
        <v>4.0850000000000001E-3</v>
      </c>
      <c r="D193" t="s">
        <v>361</v>
      </c>
      <c r="E193">
        <f t="shared" ca="1" si="8"/>
        <v>2.722859818653045E-2</v>
      </c>
      <c r="F193">
        <f t="shared" ca="1" si="9"/>
        <v>9.4065358880791067E-2</v>
      </c>
      <c r="G193">
        <f t="shared" ca="1" si="10"/>
        <v>6.0646978533660759E-2</v>
      </c>
      <c r="H193" t="str">
        <f t="shared" si="11"/>
        <v>0-0.05</v>
      </c>
    </row>
    <row r="194" spans="1:8" x14ac:dyDescent="0.35">
      <c r="A194" t="s">
        <v>487</v>
      </c>
      <c r="B194" t="s">
        <v>488</v>
      </c>
      <c r="C194">
        <v>4.9459999999999999E-4</v>
      </c>
      <c r="D194" t="s">
        <v>489</v>
      </c>
      <c r="E194">
        <f t="shared" ca="1" si="8"/>
        <v>2.34849825210083E-2</v>
      </c>
      <c r="F194">
        <f t="shared" ca="1" si="9"/>
        <v>-1.7357605310994721E-2</v>
      </c>
      <c r="G194">
        <f t="shared" ca="1" si="10"/>
        <v>3.0636886050067896E-3</v>
      </c>
      <c r="H194" t="str">
        <f t="shared" si="11"/>
        <v>0-0.05</v>
      </c>
    </row>
    <row r="195" spans="1:8" x14ac:dyDescent="0.35">
      <c r="A195" t="s">
        <v>490</v>
      </c>
      <c r="B195" t="s">
        <v>491</v>
      </c>
      <c r="C195">
        <v>6.265E-4</v>
      </c>
      <c r="D195" t="s">
        <v>492</v>
      </c>
      <c r="E195">
        <f t="shared" ref="E195:E201" ca="1" si="12">D195 + (RAND()-0.5)/10</f>
        <v>2.0806934381336115E-2</v>
      </c>
      <c r="F195">
        <f t="shared" ref="F195:F201" ca="1" si="13">D195 + (RAND()-0.5)/5</f>
        <v>-9.0034290251563481E-2</v>
      </c>
      <c r="G195">
        <f t="shared" ref="G195:G201" ca="1" si="14">AVERAGE(D195,E195,F195)</f>
        <v>-3.4613677935113683E-2</v>
      </c>
      <c r="H195" t="str">
        <f t="shared" ref="H195:H201" si="15">IF(C195&lt;=0.05,"0-0.05",
IF(C195&lt;=0.5,"0.05-0.5",
IF(C195&lt;=5,"0.5-5",
IF(C195&lt;=50,"5-50","&gt;50"))))</f>
        <v>0-0.05</v>
      </c>
    </row>
    <row r="196" spans="1:8" x14ac:dyDescent="0.35">
      <c r="A196" t="s">
        <v>493</v>
      </c>
      <c r="B196" t="s">
        <v>494</v>
      </c>
      <c r="C196">
        <v>4.4560000000000002E-2</v>
      </c>
      <c r="D196" t="s">
        <v>227</v>
      </c>
      <c r="E196">
        <f t="shared" ca="1" si="12"/>
        <v>3.2788940422625111E-2</v>
      </c>
      <c r="F196">
        <f t="shared" ca="1" si="13"/>
        <v>-4.8099275173715761E-2</v>
      </c>
      <c r="G196">
        <f t="shared" ca="1" si="14"/>
        <v>-7.6551673755453249E-3</v>
      </c>
      <c r="H196" t="str">
        <f t="shared" si="15"/>
        <v>0-0.05</v>
      </c>
    </row>
    <row r="197" spans="1:8" x14ac:dyDescent="0.35">
      <c r="A197" t="s">
        <v>495</v>
      </c>
      <c r="B197" t="s">
        <v>496</v>
      </c>
      <c r="C197">
        <v>1.286E-3</v>
      </c>
      <c r="D197" t="s">
        <v>80</v>
      </c>
      <c r="E197">
        <f t="shared" ca="1" si="12"/>
        <v>2.5903939263534227E-2</v>
      </c>
      <c r="F197">
        <f t="shared" ca="1" si="13"/>
        <v>1.9478334316272237E-2</v>
      </c>
      <c r="G197">
        <f t="shared" ca="1" si="14"/>
        <v>2.2691136789903234E-2</v>
      </c>
      <c r="H197" t="str">
        <f t="shared" si="15"/>
        <v>0-0.05</v>
      </c>
    </row>
    <row r="198" spans="1:8" x14ac:dyDescent="0.35">
      <c r="A198" t="s">
        <v>497</v>
      </c>
      <c r="B198" t="s">
        <v>498</v>
      </c>
      <c r="C198">
        <v>1.3799999999999999E-4</v>
      </c>
      <c r="D198" t="s">
        <v>499</v>
      </c>
      <c r="E198">
        <f t="shared" ca="1" si="12"/>
        <v>8.443549894401163E-2</v>
      </c>
      <c r="F198">
        <f t="shared" ca="1" si="13"/>
        <v>4.656344654495552E-2</v>
      </c>
      <c r="G198">
        <f t="shared" ca="1" si="14"/>
        <v>6.5499472744483575E-2</v>
      </c>
      <c r="H198" t="str">
        <f t="shared" si="15"/>
        <v>0-0.05</v>
      </c>
    </row>
    <row r="199" spans="1:8" x14ac:dyDescent="0.35">
      <c r="A199" t="s">
        <v>500</v>
      </c>
      <c r="B199" t="s">
        <v>501</v>
      </c>
      <c r="C199">
        <v>6.2379999999999996E-3</v>
      </c>
      <c r="D199" t="s">
        <v>502</v>
      </c>
      <c r="E199">
        <f t="shared" ca="1" si="12"/>
        <v>-1.5963279766675147E-2</v>
      </c>
      <c r="F199">
        <f t="shared" ca="1" si="13"/>
        <v>9.9347088672101722E-2</v>
      </c>
      <c r="G199">
        <f t="shared" ca="1" si="14"/>
        <v>4.1691904452713285E-2</v>
      </c>
      <c r="H199" t="str">
        <f t="shared" si="15"/>
        <v>0-0.05</v>
      </c>
    </row>
    <row r="200" spans="1:8" x14ac:dyDescent="0.35">
      <c r="A200" t="s">
        <v>503</v>
      </c>
      <c r="B200" t="s">
        <v>503</v>
      </c>
      <c r="C200">
        <v>1.2199999999999999E-3</v>
      </c>
      <c r="D200" t="s">
        <v>504</v>
      </c>
      <c r="E200">
        <f t="shared" ca="1" si="12"/>
        <v>2.5325816389226624E-2</v>
      </c>
      <c r="F200">
        <f t="shared" ca="1" si="13"/>
        <v>-5.0943219477645019E-2</v>
      </c>
      <c r="G200">
        <f t="shared" ca="1" si="14"/>
        <v>-1.2808701544209197E-2</v>
      </c>
      <c r="H200" t="str">
        <f t="shared" si="15"/>
        <v>0-0.05</v>
      </c>
    </row>
    <row r="201" spans="1:8" x14ac:dyDescent="0.35">
      <c r="A201" t="s">
        <v>505</v>
      </c>
      <c r="B201" t="s">
        <v>506</v>
      </c>
      <c r="C201">
        <v>1.532E-2</v>
      </c>
      <c r="D201" t="s">
        <v>507</v>
      </c>
      <c r="E201">
        <f t="shared" ca="1" si="12"/>
        <v>2.75448647320146E-2</v>
      </c>
      <c r="F201">
        <f t="shared" ca="1" si="13"/>
        <v>0.10556476147175739</v>
      </c>
      <c r="G201">
        <f t="shared" ca="1" si="14"/>
        <v>6.655481310188599E-2</v>
      </c>
      <c r="H201" t="str">
        <f t="shared" si="15"/>
        <v>0-0.05</v>
      </c>
    </row>
  </sheetData>
  <phoneticPr fontId="2"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6F6CE-6354-475D-954D-AFA8F683B853}">
  <sheetPr codeName="Sheet2"/>
  <dimension ref="A1:H12"/>
  <sheetViews>
    <sheetView workbookViewId="0">
      <selection activeCell="E14" sqref="E14"/>
    </sheetView>
  </sheetViews>
  <sheetFormatPr defaultRowHeight="14.5" x14ac:dyDescent="0.35"/>
  <cols>
    <col min="1" max="1" width="14.453125" bestFit="1" customWidth="1"/>
    <col min="2" max="2" width="17.81640625" bestFit="1" customWidth="1"/>
    <col min="3" max="3" width="19.7265625" bestFit="1" customWidth="1"/>
    <col min="7" max="7" width="12.36328125" customWidth="1"/>
    <col min="8" max="8" width="11.6328125" customWidth="1"/>
  </cols>
  <sheetData>
    <row r="1" spans="1:8" ht="21" x14ac:dyDescent="0.5">
      <c r="A1" s="6" t="s">
        <v>517</v>
      </c>
    </row>
    <row r="3" spans="1:8" x14ac:dyDescent="0.35">
      <c r="A3" s="3" t="s">
        <v>510</v>
      </c>
      <c r="B3" t="s">
        <v>515</v>
      </c>
      <c r="C3" t="s">
        <v>512</v>
      </c>
    </row>
    <row r="4" spans="1:8" x14ac:dyDescent="0.35">
      <c r="A4" s="4" t="s">
        <v>299</v>
      </c>
      <c r="B4">
        <v>1</v>
      </c>
      <c r="C4">
        <v>-6.1595905848372406E-4</v>
      </c>
      <c r="G4" s="10" t="s">
        <v>516</v>
      </c>
      <c r="H4" s="9" t="str">
        <f>A4</f>
        <v>Beefy</v>
      </c>
    </row>
    <row r="5" spans="1:8" x14ac:dyDescent="0.35">
      <c r="A5" s="4" t="s">
        <v>6</v>
      </c>
      <c r="B5">
        <v>1</v>
      </c>
      <c r="C5">
        <v>-1.3988759116039994E-2</v>
      </c>
      <c r="G5" s="5"/>
      <c r="H5" s="5"/>
    </row>
    <row r="6" spans="1:8" x14ac:dyDescent="0.35">
      <c r="A6" s="4" t="s">
        <v>17</v>
      </c>
      <c r="B6">
        <v>1</v>
      </c>
      <c r="C6">
        <v>-5.3495105279922156E-2</v>
      </c>
      <c r="G6" s="10" t="s">
        <v>1</v>
      </c>
      <c r="H6" s="9" t="str">
        <f>VLOOKUP(A4,'Raw data'!A:C,2,FALSE)</f>
        <v>BIFI</v>
      </c>
    </row>
    <row r="7" spans="1:8" x14ac:dyDescent="0.35">
      <c r="A7" s="4" t="s">
        <v>267</v>
      </c>
      <c r="B7">
        <v>1</v>
      </c>
      <c r="C7">
        <v>1.0765859042202276E-2</v>
      </c>
      <c r="G7" s="5"/>
      <c r="H7" s="5"/>
    </row>
    <row r="8" spans="1:8" x14ac:dyDescent="0.35">
      <c r="A8" s="4" t="s">
        <v>171</v>
      </c>
      <c r="B8">
        <v>1</v>
      </c>
      <c r="C8">
        <v>4.7668079271937662E-2</v>
      </c>
      <c r="G8" s="10" t="s">
        <v>2</v>
      </c>
      <c r="H8" s="11">
        <f>VLOOKUP(A4,'Raw data'!A:C,3,FALSE)</f>
        <v>146.91999999999999</v>
      </c>
    </row>
    <row r="9" spans="1:8" x14ac:dyDescent="0.35">
      <c r="A9" s="4" t="s">
        <v>9</v>
      </c>
      <c r="B9">
        <v>1</v>
      </c>
      <c r="C9">
        <v>1.4720291658526789E-2</v>
      </c>
      <c r="G9" s="5"/>
      <c r="H9" s="5"/>
    </row>
    <row r="10" spans="1:8" x14ac:dyDescent="0.35">
      <c r="A10" s="4" t="s">
        <v>19</v>
      </c>
      <c r="B10">
        <v>1</v>
      </c>
      <c r="C10">
        <v>-3.5375949559638617E-2</v>
      </c>
      <c r="G10" s="10" t="s">
        <v>513</v>
      </c>
      <c r="H10" s="8">
        <f>C4</f>
        <v>-6.1595905848372406E-4</v>
      </c>
    </row>
    <row r="11" spans="1:8" x14ac:dyDescent="0.35">
      <c r="A11" s="4" t="s">
        <v>511</v>
      </c>
      <c r="B11">
        <v>7</v>
      </c>
      <c r="C11">
        <v>-5.3495105279922156E-2</v>
      </c>
      <c r="G11" s="5"/>
      <c r="H11" s="5"/>
    </row>
    <row r="12" spans="1:8" x14ac:dyDescent="0.35">
      <c r="G12" s="10" t="s">
        <v>514</v>
      </c>
      <c r="H12" s="7">
        <f>GETPIVOTDATA("Count of Coin Name",$A$3)</f>
        <v>7</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6BB1D2-68FD-476A-9783-A115C9676F14}">
  <sheetPr codeName="Sheet3"/>
  <dimension ref="A1:K201"/>
  <sheetViews>
    <sheetView tabSelected="1" topLeftCell="H1" workbookViewId="0">
      <selection activeCell="N17" sqref="N17"/>
    </sheetView>
  </sheetViews>
  <sheetFormatPr defaultRowHeight="14.5" x14ac:dyDescent="0.35"/>
  <cols>
    <col min="1" max="1" width="11.90625" customWidth="1"/>
    <col min="2" max="2" width="8.90625" customWidth="1"/>
    <col min="3" max="3" width="10.81640625" bestFit="1" customWidth="1"/>
    <col min="4" max="4" width="13.453125" customWidth="1"/>
    <col min="5" max="5" width="14.453125" customWidth="1"/>
    <col min="6" max="6" width="13.453125" customWidth="1"/>
    <col min="7" max="7" width="15.6328125" customWidth="1"/>
    <col min="8" max="8" width="12.453125" customWidth="1"/>
    <col min="10" max="10" width="15.7265625" customWidth="1"/>
    <col min="11" max="11" width="17.90625" customWidth="1"/>
  </cols>
  <sheetData>
    <row r="1" spans="1:11" x14ac:dyDescent="0.35">
      <c r="A1" s="1" t="s">
        <v>0</v>
      </c>
      <c r="B1" s="1" t="s">
        <v>1</v>
      </c>
      <c r="C1" s="1" t="s">
        <v>2</v>
      </c>
      <c r="D1" s="1" t="s">
        <v>3</v>
      </c>
      <c r="E1" s="1" t="s">
        <v>4</v>
      </c>
      <c r="F1" s="1" t="s">
        <v>5</v>
      </c>
      <c r="G1" s="1" t="s">
        <v>508</v>
      </c>
      <c r="H1" s="1" t="s">
        <v>509</v>
      </c>
      <c r="I1" s="1" t="s">
        <v>518</v>
      </c>
      <c r="J1" s="1" t="s">
        <v>519</v>
      </c>
      <c r="K1" s="1" t="s">
        <v>520</v>
      </c>
    </row>
    <row r="2" spans="1:11" hidden="1" x14ac:dyDescent="0.35">
      <c r="A2" t="s">
        <v>6</v>
      </c>
      <c r="B2" t="s">
        <v>7</v>
      </c>
      <c r="C2" s="2">
        <v>104058.04</v>
      </c>
      <c r="D2" t="s">
        <v>8</v>
      </c>
      <c r="E2">
        <f ca="1">D2 + (RAND()-0.5)/10</f>
        <v>-2.3044351708268244E-2</v>
      </c>
      <c r="F2">
        <f ca="1">D2 + (RAND()-0.5)/5</f>
        <v>-7.9034482916916352E-2</v>
      </c>
      <c r="G2">
        <f ca="1">AVERAGE(D2,E2,F2)</f>
        <v>-5.1039417312592296E-2</v>
      </c>
      <c r="H2" t="str">
        <f>IF(C2&lt;=0.05,"0-0.05",
IF(C2&lt;=0.5,"0.05-0.5",
IF(C2&lt;=5,"0.5-5",
IF(C2&lt;=50,"5-50","&gt;50"))))</f>
        <v>&gt;50</v>
      </c>
    </row>
    <row r="3" spans="1:11" hidden="1" x14ac:dyDescent="0.35">
      <c r="A3" t="s">
        <v>9</v>
      </c>
      <c r="B3" t="s">
        <v>10</v>
      </c>
      <c r="C3" s="2">
        <v>2483.59</v>
      </c>
      <c r="D3" t="s">
        <v>11</v>
      </c>
      <c r="E3">
        <f t="shared" ref="E3" ca="1" si="0">D3 + (RAND()-0.5)/10</f>
        <v>-2.0503932023351466E-2</v>
      </c>
      <c r="F3">
        <f t="shared" ref="F3" ca="1" si="1">D3 + (RAND()-0.5)/5</f>
        <v>-3.414034574299938E-2</v>
      </c>
      <c r="G3">
        <f t="shared" ref="G3" ca="1" si="2">AVERAGE(D3,E3,F3)</f>
        <v>-2.7322138883175424E-2</v>
      </c>
      <c r="H3" t="str">
        <f t="shared" ref="H3" si="3">IF(C3&lt;=0.05,"0-0.05",
IF(C3&lt;=0.5,"0.05-0.5",
IF(C3&lt;=5,"0.5-5",
IF(C3&lt;=50,"5-50","&gt;50"))))</f>
        <v>&gt;50</v>
      </c>
    </row>
    <row r="4" spans="1:11" hidden="1" x14ac:dyDescent="0.35">
      <c r="A4" t="s">
        <v>372</v>
      </c>
      <c r="B4" t="s">
        <v>373</v>
      </c>
      <c r="C4">
        <v>2.2479999999999999E-4</v>
      </c>
      <c r="D4" t="s">
        <v>203</v>
      </c>
      <c r="E4">
        <f t="shared" ref="E4:E35" ca="1" si="4">D4 + (RAND()-0.5)/10</f>
        <v>-4.3947311960989631E-2</v>
      </c>
      <c r="F4">
        <f t="shared" ref="F4:F35" ca="1" si="5">D4 + (RAND()-0.5)/5</f>
        <v>-2.7992277100719797E-2</v>
      </c>
      <c r="G4">
        <f t="shared" ref="G4:G35" ca="1" si="6">AVERAGE(D4,E4,F4)</f>
        <v>-3.5969794530854714E-2</v>
      </c>
      <c r="H4" t="str">
        <f t="shared" ref="H4:H35" si="7">IF(C4&lt;=0.05,"0-0.05",
IF(C4&lt;=0.5,"0.05-0.5",
IF(C4&lt;=5,"0.5-5",
IF(C4&lt;=50,"5-50","&gt;50"))))</f>
        <v>0-0.05</v>
      </c>
      <c r="I4">
        <f ca="1">C2/(1+F2)</f>
        <v>112987.98713938444</v>
      </c>
      <c r="J4">
        <f ca="1">C2/(1-E2)</f>
        <v>101714.10440441317</v>
      </c>
      <c r="K4">
        <f>VALUE(SUBSTITUTE(D2,"%",""))/100</f>
        <v>2.3999999999999998E-3</v>
      </c>
    </row>
    <row r="5" spans="1:11" hidden="1" x14ac:dyDescent="0.35">
      <c r="A5" t="s">
        <v>12</v>
      </c>
      <c r="B5" t="s">
        <v>13</v>
      </c>
      <c r="C5">
        <v>0.99990000000000001</v>
      </c>
      <c r="D5" t="s">
        <v>14</v>
      </c>
      <c r="E5">
        <f t="shared" ca="1" si="4"/>
        <v>-4.8665157480891176E-3</v>
      </c>
      <c r="F5">
        <f t="shared" ca="1" si="5"/>
        <v>4.3027561743879089E-2</v>
      </c>
      <c r="G5">
        <f t="shared" ca="1" si="6"/>
        <v>1.9080522997894984E-2</v>
      </c>
      <c r="H5" t="str">
        <f t="shared" si="7"/>
        <v>0.5-5</v>
      </c>
      <c r="I5">
        <f ca="1">C3/(1+F3)</f>
        <v>2571.3777245520541</v>
      </c>
      <c r="J5">
        <f ca="1">C3/(1-E3)</f>
        <v>2433.6897899803189</v>
      </c>
      <c r="K5">
        <f>VALUE(SUBSTITUTE(D3,"%",""))/100</f>
        <v>7.6E-3</v>
      </c>
    </row>
    <row r="6" spans="1:11" hidden="1" x14ac:dyDescent="0.35">
      <c r="A6" t="s">
        <v>17</v>
      </c>
      <c r="B6" t="s">
        <v>17</v>
      </c>
      <c r="C6">
        <v>644.79</v>
      </c>
      <c r="D6" t="s">
        <v>18</v>
      </c>
      <c r="E6">
        <f t="shared" ca="1" si="4"/>
        <v>-1.2396425711975367E-2</v>
      </c>
      <c r="F6">
        <f t="shared" ca="1" si="5"/>
        <v>6.7177528753801521E-2</v>
      </c>
      <c r="G6">
        <f t="shared" ca="1" si="6"/>
        <v>2.7390551520913076E-2</v>
      </c>
      <c r="H6" t="str">
        <f t="shared" si="7"/>
        <v>&gt;50</v>
      </c>
    </row>
    <row r="7" spans="1:11" hidden="1" x14ac:dyDescent="0.35">
      <c r="A7" t="s">
        <v>19</v>
      </c>
      <c r="B7" t="s">
        <v>20</v>
      </c>
      <c r="C7">
        <v>142.66999999999999</v>
      </c>
      <c r="D7" t="s">
        <v>21</v>
      </c>
      <c r="E7">
        <f t="shared" ca="1" si="4"/>
        <v>2.4552938854498222E-2</v>
      </c>
      <c r="F7">
        <f t="shared" ca="1" si="5"/>
        <v>-3.7709663040105076E-2</v>
      </c>
      <c r="G7">
        <f t="shared" ca="1" si="6"/>
        <v>-6.5783620928034272E-3</v>
      </c>
      <c r="H7" t="str">
        <f t="shared" si="7"/>
        <v>&gt;50</v>
      </c>
    </row>
    <row r="8" spans="1:11" x14ac:dyDescent="0.35">
      <c r="A8" t="s">
        <v>425</v>
      </c>
      <c r="B8" t="s">
        <v>425</v>
      </c>
      <c r="C8">
        <v>2.2959999999999999E-3</v>
      </c>
      <c r="D8" t="s">
        <v>18</v>
      </c>
      <c r="E8">
        <f t="shared" ca="1" si="4"/>
        <v>-3.618267995676573E-3</v>
      </c>
      <c r="F8">
        <f t="shared" ca="1" si="5"/>
        <v>-9.0181092592083317E-2</v>
      </c>
      <c r="G8">
        <f t="shared" ca="1" si="6"/>
        <v>-4.6899680293879947E-2</v>
      </c>
      <c r="H8" t="str">
        <f t="shared" si="7"/>
        <v>0-0.05</v>
      </c>
      <c r="I8">
        <f t="shared" ref="I8:I39" ca="1" si="8">C6/(1+F6)</f>
        <v>604.20125295643606</v>
      </c>
      <c r="J8">
        <f t="shared" ref="J8:J39" ca="1" si="9">C6/(1-E6)</f>
        <v>636.89478115901738</v>
      </c>
      <c r="K8">
        <f t="shared" ref="K8:K39" si="10">VALUE(SUBSTITUTE(D6,"%",""))/100</f>
        <v>1E-3</v>
      </c>
    </row>
    <row r="9" spans="1:11" x14ac:dyDescent="0.35">
      <c r="A9" t="s">
        <v>475</v>
      </c>
      <c r="B9" t="s">
        <v>476</v>
      </c>
      <c r="C9">
        <v>7.633E-3</v>
      </c>
      <c r="D9" t="s">
        <v>477</v>
      </c>
      <c r="E9">
        <f t="shared" ca="1" si="4"/>
        <v>3.8572170589668976E-2</v>
      </c>
      <c r="F9">
        <f t="shared" ca="1" si="5"/>
        <v>-4.5114006404456564E-2</v>
      </c>
      <c r="G9">
        <f t="shared" ca="1" si="6"/>
        <v>-3.2709179073937937E-3</v>
      </c>
      <c r="H9" t="str">
        <f t="shared" si="7"/>
        <v>0-0.05</v>
      </c>
      <c r="I9">
        <f t="shared" ca="1" si="8"/>
        <v>148.26086734979444</v>
      </c>
      <c r="J9">
        <f t="shared" ca="1" si="9"/>
        <v>146.26114084803086</v>
      </c>
      <c r="K9">
        <f t="shared" si="10"/>
        <v>9.8999999999999991E-3</v>
      </c>
    </row>
    <row r="10" spans="1:11" x14ac:dyDescent="0.35">
      <c r="A10" t="s">
        <v>78</v>
      </c>
      <c r="B10" t="s">
        <v>79</v>
      </c>
      <c r="C10">
        <v>0.99970000000000003</v>
      </c>
      <c r="D10" t="s">
        <v>80</v>
      </c>
      <c r="E10">
        <f t="shared" ca="1" si="4"/>
        <v>4.5578521541152824E-3</v>
      </c>
      <c r="F10">
        <f t="shared" ca="1" si="5"/>
        <v>-5.7167311269786449E-2</v>
      </c>
      <c r="G10">
        <f t="shared" ca="1" si="6"/>
        <v>-2.6304729557835582E-2</v>
      </c>
      <c r="H10" t="str">
        <f t="shared" si="7"/>
        <v>0.5-5</v>
      </c>
      <c r="I10">
        <f t="shared" ca="1" si="8"/>
        <v>2.5235791225105744E-3</v>
      </c>
      <c r="J10">
        <f t="shared" ca="1" si="9"/>
        <v>2.2877224072309237E-3</v>
      </c>
      <c r="K10">
        <f t="shared" si="10"/>
        <v>1E-3</v>
      </c>
    </row>
    <row r="11" spans="1:11" x14ac:dyDescent="0.35">
      <c r="A11" t="s">
        <v>81</v>
      </c>
      <c r="B11" t="s">
        <v>82</v>
      </c>
      <c r="C11">
        <v>1.6469999999999999E-2</v>
      </c>
      <c r="D11" t="s">
        <v>73</v>
      </c>
      <c r="E11">
        <f t="shared" ca="1" si="4"/>
        <v>4.4432464598323548E-2</v>
      </c>
      <c r="F11">
        <f t="shared" ca="1" si="5"/>
        <v>2.7643220377005479E-2</v>
      </c>
      <c r="G11">
        <f t="shared" ca="1" si="6"/>
        <v>3.6037842487664513E-2</v>
      </c>
      <c r="H11" t="str">
        <f t="shared" si="7"/>
        <v>0-0.05</v>
      </c>
      <c r="I11">
        <f t="shared" ca="1" si="8"/>
        <v>7.9936244234336037E-3</v>
      </c>
      <c r="J11">
        <f t="shared" ca="1" si="9"/>
        <v>7.9392334676660226E-3</v>
      </c>
      <c r="K11">
        <f t="shared" si="10"/>
        <v>1.1000000000000001E-2</v>
      </c>
    </row>
    <row r="12" spans="1:11" x14ac:dyDescent="0.35">
      <c r="A12" t="s">
        <v>277</v>
      </c>
      <c r="B12" t="s">
        <v>278</v>
      </c>
      <c r="C12">
        <v>0.3211</v>
      </c>
      <c r="D12" t="s">
        <v>179</v>
      </c>
      <c r="E12">
        <f t="shared" ca="1" si="4"/>
        <v>2.903643291586286E-3</v>
      </c>
      <c r="F12">
        <f t="shared" ca="1" si="5"/>
        <v>2.1369066160964397E-2</v>
      </c>
      <c r="G12">
        <f t="shared" ca="1" si="6"/>
        <v>1.2136354726275342E-2</v>
      </c>
      <c r="H12" t="str">
        <f t="shared" si="7"/>
        <v>0.05-0.5</v>
      </c>
      <c r="I12">
        <f t="shared" ca="1" si="8"/>
        <v>1.0603153793345605</v>
      </c>
      <c r="J12">
        <f t="shared" ca="1" si="9"/>
        <v>1.0042773476724181</v>
      </c>
      <c r="K12">
        <f t="shared" si="10"/>
        <v>0</v>
      </c>
    </row>
    <row r="13" spans="1:11" x14ac:dyDescent="0.35">
      <c r="A13" t="s">
        <v>321</v>
      </c>
      <c r="B13" t="s">
        <v>322</v>
      </c>
      <c r="C13">
        <v>1.661E-2</v>
      </c>
      <c r="D13" t="s">
        <v>323</v>
      </c>
      <c r="E13">
        <f t="shared" ca="1" si="4"/>
        <v>5.1452081261176223E-2</v>
      </c>
      <c r="F13">
        <f t="shared" ca="1" si="5"/>
        <v>1.1500456345519574E-2</v>
      </c>
      <c r="G13">
        <f t="shared" ca="1" si="6"/>
        <v>3.1476268803347897E-2</v>
      </c>
      <c r="H13" t="str">
        <f t="shared" si="7"/>
        <v>0-0.05</v>
      </c>
      <c r="I13">
        <f t="shared" ca="1" si="8"/>
        <v>1.6026963126324862E-2</v>
      </c>
      <c r="J13">
        <f t="shared" ca="1" si="9"/>
        <v>1.723583042518996E-2</v>
      </c>
      <c r="K13">
        <f t="shared" si="10"/>
        <v>5.1999999999999998E-3</v>
      </c>
    </row>
    <row r="14" spans="1:11" x14ac:dyDescent="0.35">
      <c r="A14" t="s">
        <v>74</v>
      </c>
      <c r="B14" t="s">
        <v>75</v>
      </c>
      <c r="C14">
        <v>0.99770000000000003</v>
      </c>
      <c r="D14" t="s">
        <v>62</v>
      </c>
      <c r="E14">
        <f t="shared" ca="1" si="4"/>
        <v>-2.8932070590140978E-2</v>
      </c>
      <c r="F14">
        <f t="shared" ca="1" si="5"/>
        <v>-4.5757906801996838E-2</v>
      </c>
      <c r="G14">
        <f t="shared" ca="1" si="6"/>
        <v>-3.7344988696068906E-2</v>
      </c>
      <c r="H14" t="str">
        <f t="shared" si="7"/>
        <v>0.5-5</v>
      </c>
      <c r="I14">
        <f t="shared" ca="1" si="8"/>
        <v>0.31438195128321583</v>
      </c>
      <c r="J14">
        <f t="shared" ca="1" si="9"/>
        <v>0.32203507498513606</v>
      </c>
      <c r="K14">
        <f t="shared" si="10"/>
        <v>3.0999999999999999E-3</v>
      </c>
    </row>
    <row r="15" spans="1:11" x14ac:dyDescent="0.35">
      <c r="A15" t="s">
        <v>174</v>
      </c>
      <c r="B15" t="s">
        <v>175</v>
      </c>
      <c r="C15">
        <v>0.30309999999999998</v>
      </c>
      <c r="D15" t="s">
        <v>176</v>
      </c>
      <c r="E15">
        <f t="shared" ca="1" si="4"/>
        <v>1.9439449237810442E-3</v>
      </c>
      <c r="F15">
        <f t="shared" ca="1" si="5"/>
        <v>-6.1633368683928824E-2</v>
      </c>
      <c r="G15">
        <f t="shared" ca="1" si="6"/>
        <v>-2.9844711880073892E-2</v>
      </c>
      <c r="H15" t="str">
        <f t="shared" si="7"/>
        <v>0.05-0.5</v>
      </c>
      <c r="I15">
        <f t="shared" ca="1" si="8"/>
        <v>1.6421149289453381E-2</v>
      </c>
      <c r="J15">
        <f t="shared" ca="1" si="9"/>
        <v>1.7510976168799597E-2</v>
      </c>
      <c r="K15">
        <f t="shared" si="10"/>
        <v>2.18E-2</v>
      </c>
    </row>
    <row r="16" spans="1:11" x14ac:dyDescent="0.35">
      <c r="A16" t="s">
        <v>352</v>
      </c>
      <c r="B16" t="s">
        <v>353</v>
      </c>
      <c r="C16">
        <v>5.4479999999999997E-3</v>
      </c>
      <c r="D16" t="s">
        <v>80</v>
      </c>
      <c r="E16">
        <f t="shared" ca="1" si="4"/>
        <v>2.3338407474551383E-2</v>
      </c>
      <c r="F16">
        <f t="shared" ca="1" si="5"/>
        <v>5.1465601246951785E-2</v>
      </c>
      <c r="G16">
        <f t="shared" ca="1" si="6"/>
        <v>3.7402004360751584E-2</v>
      </c>
      <c r="H16" t="str">
        <f t="shared" si="7"/>
        <v>0-0.05</v>
      </c>
      <c r="I16">
        <f t="shared" ca="1" si="8"/>
        <v>1.0455418044454046</v>
      </c>
      <c r="J16">
        <f t="shared" ca="1" si="9"/>
        <v>0.96964612972727349</v>
      </c>
      <c r="K16">
        <f t="shared" si="10"/>
        <v>1E-4</v>
      </c>
    </row>
    <row r="17" spans="1:11" x14ac:dyDescent="0.35">
      <c r="A17" t="s">
        <v>97</v>
      </c>
      <c r="B17" t="s">
        <v>97</v>
      </c>
      <c r="C17">
        <v>5.0279999999999998E-2</v>
      </c>
      <c r="D17" t="s">
        <v>98</v>
      </c>
      <c r="E17">
        <f t="shared" ca="1" si="4"/>
        <v>-1.6736197316019961E-2</v>
      </c>
      <c r="F17">
        <f t="shared" ca="1" si="5"/>
        <v>2.7584926957654202E-2</v>
      </c>
      <c r="G17">
        <f t="shared" ca="1" si="6"/>
        <v>5.4243648208171201E-3</v>
      </c>
      <c r="H17" t="str">
        <f t="shared" si="7"/>
        <v>0.05-0.5</v>
      </c>
      <c r="I17">
        <f t="shared" ca="1" si="8"/>
        <v>0.32300807582522234</v>
      </c>
      <c r="J17">
        <f t="shared" ca="1" si="9"/>
        <v>0.30369035732853</v>
      </c>
      <c r="K17">
        <f t="shared" si="10"/>
        <v>1.7299999999999999E-2</v>
      </c>
    </row>
    <row r="18" spans="1:11" x14ac:dyDescent="0.35">
      <c r="A18" t="s">
        <v>484</v>
      </c>
      <c r="B18" t="s">
        <v>484</v>
      </c>
      <c r="C18">
        <v>4.2460000000000002E-4</v>
      </c>
      <c r="D18" t="s">
        <v>301</v>
      </c>
      <c r="E18">
        <f t="shared" ca="1" si="4"/>
        <v>-4.0184964187838283E-2</v>
      </c>
      <c r="F18">
        <f t="shared" ca="1" si="5"/>
        <v>8.7014453309311707E-2</v>
      </c>
      <c r="G18">
        <f t="shared" ca="1" si="6"/>
        <v>2.3414744560736712E-2</v>
      </c>
      <c r="H18" t="str">
        <f t="shared" si="7"/>
        <v>0-0.05</v>
      </c>
      <c r="I18">
        <f t="shared" ca="1" si="8"/>
        <v>5.1813392597333842E-3</v>
      </c>
      <c r="J18">
        <f t="shared" ca="1" si="9"/>
        <v>5.5781859773072241E-3</v>
      </c>
      <c r="K18">
        <f t="shared" si="10"/>
        <v>0</v>
      </c>
    </row>
    <row r="19" spans="1:11" x14ac:dyDescent="0.35">
      <c r="A19" t="s">
        <v>348</v>
      </c>
      <c r="B19" t="s">
        <v>349</v>
      </c>
      <c r="C19">
        <v>5.5209999999999999E-3</v>
      </c>
      <c r="D19" t="s">
        <v>227</v>
      </c>
      <c r="E19">
        <f t="shared" ca="1" si="4"/>
        <v>4.8332892970541427E-2</v>
      </c>
      <c r="F19">
        <f t="shared" ca="1" si="5"/>
        <v>3.1544899510514771E-2</v>
      </c>
      <c r="G19">
        <f t="shared" ca="1" si="6"/>
        <v>3.9938896240528099E-2</v>
      </c>
      <c r="H19" t="str">
        <f t="shared" si="7"/>
        <v>0-0.05</v>
      </c>
      <c r="I19">
        <f t="shared" ca="1" si="8"/>
        <v>4.8930262288746071E-2</v>
      </c>
      <c r="J19">
        <f t="shared" ca="1" si="9"/>
        <v>4.9452355618624703E-2</v>
      </c>
      <c r="K19">
        <f t="shared" si="10"/>
        <v>9.4999999999999998E-3</v>
      </c>
    </row>
    <row r="20" spans="1:11" x14ac:dyDescent="0.35">
      <c r="A20" t="s">
        <v>15</v>
      </c>
      <c r="B20" t="s">
        <v>15</v>
      </c>
      <c r="C20">
        <v>2.12</v>
      </c>
      <c r="D20" t="s">
        <v>16</v>
      </c>
      <c r="E20">
        <f t="shared" ca="1" si="4"/>
        <v>-3.7523135787915357E-2</v>
      </c>
      <c r="F20">
        <f t="shared" ca="1" si="5"/>
        <v>3.2612855565524762E-2</v>
      </c>
      <c r="G20">
        <f t="shared" ca="1" si="6"/>
        <v>-2.4551401111952975E-3</v>
      </c>
      <c r="H20" t="str">
        <f t="shared" si="7"/>
        <v>0.5-5</v>
      </c>
      <c r="I20">
        <f t="shared" ca="1" si="8"/>
        <v>3.9061118157844712E-4</v>
      </c>
      <c r="J20">
        <f t="shared" ca="1" si="9"/>
        <v>4.0819663292433929E-4</v>
      </c>
      <c r="K20">
        <f t="shared" si="10"/>
        <v>1.6000000000000001E-3</v>
      </c>
    </row>
    <row r="21" spans="1:11" x14ac:dyDescent="0.35">
      <c r="A21" t="s">
        <v>60</v>
      </c>
      <c r="B21" t="s">
        <v>61</v>
      </c>
      <c r="C21">
        <v>0.99760000000000004</v>
      </c>
      <c r="D21" t="s">
        <v>62</v>
      </c>
      <c r="E21">
        <f t="shared" ca="1" si="4"/>
        <v>-4.9516856198240873E-2</v>
      </c>
      <c r="F21">
        <f t="shared" ca="1" si="5"/>
        <v>-9.9804175935674658E-2</v>
      </c>
      <c r="G21">
        <f t="shared" ca="1" si="6"/>
        <v>-7.4660516066957769E-2</v>
      </c>
      <c r="H21" t="str">
        <f t="shared" si="7"/>
        <v>0.5-5</v>
      </c>
      <c r="I21">
        <f t="shared" ca="1" si="8"/>
        <v>5.3521664472577068E-3</v>
      </c>
      <c r="J21">
        <f t="shared" ca="1" si="9"/>
        <v>5.8013983663187585E-3</v>
      </c>
      <c r="K21">
        <f t="shared" si="10"/>
        <v>1.26E-2</v>
      </c>
    </row>
    <row r="22" spans="1:11" x14ac:dyDescent="0.35">
      <c r="A22" t="s">
        <v>465</v>
      </c>
      <c r="B22" t="s">
        <v>466</v>
      </c>
      <c r="C22">
        <v>6.6490000000000004E-3</v>
      </c>
      <c r="D22" t="s">
        <v>80</v>
      </c>
      <c r="E22">
        <f t="shared" ca="1" si="4"/>
        <v>-4.4127906758097676E-2</v>
      </c>
      <c r="F22">
        <f t="shared" ca="1" si="5"/>
        <v>9.6126521353040631E-2</v>
      </c>
      <c r="G22">
        <f t="shared" ca="1" si="6"/>
        <v>2.5999307297471477E-2</v>
      </c>
      <c r="H22" t="str">
        <f t="shared" si="7"/>
        <v>0-0.05</v>
      </c>
      <c r="I22">
        <f t="shared" ca="1" si="8"/>
        <v>2.0530443607918794</v>
      </c>
      <c r="J22">
        <f t="shared" ca="1" si="9"/>
        <v>2.0433279286731576</v>
      </c>
      <c r="K22">
        <f t="shared" si="10"/>
        <v>5.5000000000000005E-3</v>
      </c>
    </row>
    <row r="23" spans="1:11" x14ac:dyDescent="0.35">
      <c r="A23" t="s">
        <v>152</v>
      </c>
      <c r="B23" t="s">
        <v>153</v>
      </c>
      <c r="C23">
        <v>1.1769999999999999E-2</v>
      </c>
      <c r="D23" t="s">
        <v>154</v>
      </c>
      <c r="E23">
        <f t="shared" ca="1" si="4"/>
        <v>-3.7067873579738099E-2</v>
      </c>
      <c r="F23">
        <f t="shared" ca="1" si="5"/>
        <v>0.10114150432447915</v>
      </c>
      <c r="G23">
        <f t="shared" ca="1" si="6"/>
        <v>3.203681537237052E-2</v>
      </c>
      <c r="H23" t="str">
        <f t="shared" si="7"/>
        <v>0-0.05</v>
      </c>
      <c r="I23">
        <f t="shared" ca="1" si="8"/>
        <v>1.1082033190244109</v>
      </c>
      <c r="J23">
        <f t="shared" ca="1" si="9"/>
        <v>0.9505326132766424</v>
      </c>
      <c r="K23">
        <f t="shared" si="10"/>
        <v>1E-4</v>
      </c>
    </row>
    <row r="24" spans="1:11" x14ac:dyDescent="0.35">
      <c r="A24" t="s">
        <v>497</v>
      </c>
      <c r="B24" t="s">
        <v>498</v>
      </c>
      <c r="C24">
        <v>1.3799999999999999E-4</v>
      </c>
      <c r="D24" t="s">
        <v>499</v>
      </c>
      <c r="E24">
        <f t="shared" ca="1" si="4"/>
        <v>0.16390820995930044</v>
      </c>
      <c r="F24">
        <f t="shared" ca="1" si="5"/>
        <v>0.14817604177873323</v>
      </c>
      <c r="G24">
        <f t="shared" ca="1" si="6"/>
        <v>0.15604212586901683</v>
      </c>
      <c r="H24" t="str">
        <f t="shared" si="7"/>
        <v>0-0.05</v>
      </c>
      <c r="I24">
        <f t="shared" ca="1" si="8"/>
        <v>6.0659055961829874E-3</v>
      </c>
      <c r="J24">
        <f t="shared" ca="1" si="9"/>
        <v>6.3679937649060775E-3</v>
      </c>
      <c r="K24">
        <f t="shared" si="10"/>
        <v>0</v>
      </c>
    </row>
    <row r="25" spans="1:11" x14ac:dyDescent="0.35">
      <c r="A25" t="s">
        <v>201</v>
      </c>
      <c r="B25" t="s">
        <v>202</v>
      </c>
      <c r="C25">
        <v>0.29930000000000001</v>
      </c>
      <c r="D25" t="s">
        <v>203</v>
      </c>
      <c r="E25">
        <f t="shared" ca="1" si="4"/>
        <v>-4.6610481972425302E-2</v>
      </c>
      <c r="F25">
        <f t="shared" ca="1" si="5"/>
        <v>1.866534785044326E-2</v>
      </c>
      <c r="G25">
        <f t="shared" ca="1" si="6"/>
        <v>-1.3972567060991021E-2</v>
      </c>
      <c r="H25" t="str">
        <f t="shared" si="7"/>
        <v>0.05-0.5</v>
      </c>
      <c r="I25">
        <f t="shared" ca="1" si="8"/>
        <v>1.0688907786852135E-2</v>
      </c>
      <c r="J25">
        <f t="shared" ca="1" si="9"/>
        <v>1.1349305382850651E-2</v>
      </c>
      <c r="K25">
        <f t="shared" si="10"/>
        <v>1.8E-3</v>
      </c>
    </row>
    <row r="26" spans="1:11" x14ac:dyDescent="0.35">
      <c r="A26" t="s">
        <v>137</v>
      </c>
      <c r="B26" t="s">
        <v>138</v>
      </c>
      <c r="C26">
        <v>7.8759999999999997E-2</v>
      </c>
      <c r="D26" t="s">
        <v>139</v>
      </c>
      <c r="E26">
        <f t="shared" ca="1" si="4"/>
        <v>2.0773297567492639E-2</v>
      </c>
      <c r="F26">
        <f t="shared" ca="1" si="5"/>
        <v>-1.6982130964093737E-2</v>
      </c>
      <c r="G26">
        <f t="shared" ca="1" si="6"/>
        <v>1.8955833016994512E-3</v>
      </c>
      <c r="H26" t="str">
        <f t="shared" si="7"/>
        <v>0.05-0.5</v>
      </c>
      <c r="I26">
        <f t="shared" ca="1" si="8"/>
        <v>1.2019062842159024E-4</v>
      </c>
      <c r="J26">
        <f t="shared" ca="1" si="9"/>
        <v>1.6505364798915487E-4</v>
      </c>
      <c r="K26">
        <f t="shared" si="10"/>
        <v>0.1177</v>
      </c>
    </row>
    <row r="27" spans="1:11" x14ac:dyDescent="0.35">
      <c r="A27" t="s">
        <v>377</v>
      </c>
      <c r="B27" t="s">
        <v>378</v>
      </c>
      <c r="C27">
        <v>1.908E-2</v>
      </c>
      <c r="D27" t="s">
        <v>166</v>
      </c>
      <c r="E27">
        <f t="shared" ca="1" si="4"/>
        <v>-3.5530757027542381E-2</v>
      </c>
      <c r="F27">
        <f t="shared" ca="1" si="5"/>
        <v>-2.4768092300030603E-2</v>
      </c>
      <c r="G27">
        <f t="shared" ca="1" si="6"/>
        <v>-3.0149424663786492E-2</v>
      </c>
      <c r="H27" t="str">
        <f t="shared" si="7"/>
        <v>0-0.05</v>
      </c>
      <c r="I27">
        <f t="shared" ca="1" si="8"/>
        <v>0.29381582541467011</v>
      </c>
      <c r="J27">
        <f t="shared" ca="1" si="9"/>
        <v>0.28597076482164024</v>
      </c>
      <c r="K27">
        <f t="shared" si="10"/>
        <v>1.5E-3</v>
      </c>
    </row>
    <row r="28" spans="1:11" x14ac:dyDescent="0.35">
      <c r="A28" t="s">
        <v>125</v>
      </c>
      <c r="B28" t="s">
        <v>126</v>
      </c>
      <c r="C28">
        <v>0.15379999999999999</v>
      </c>
      <c r="D28" t="s">
        <v>127</v>
      </c>
      <c r="E28">
        <f t="shared" ca="1" si="4"/>
        <v>-3.850287889881733E-2</v>
      </c>
      <c r="F28">
        <f t="shared" ca="1" si="5"/>
        <v>9.3552350608319984E-2</v>
      </c>
      <c r="G28">
        <f t="shared" ca="1" si="6"/>
        <v>2.7524735854751327E-2</v>
      </c>
      <c r="H28" t="str">
        <f t="shared" si="7"/>
        <v>0.05-0.5</v>
      </c>
      <c r="I28">
        <f t="shared" ca="1" si="8"/>
        <v>8.0120618842100783E-2</v>
      </c>
      <c r="J28">
        <f t="shared" ca="1" si="9"/>
        <v>8.0430813216542663E-2</v>
      </c>
      <c r="K28">
        <f t="shared" si="10"/>
        <v>1.61E-2</v>
      </c>
    </row>
    <row r="29" spans="1:11" x14ac:dyDescent="0.35">
      <c r="A29" t="s">
        <v>450</v>
      </c>
      <c r="B29" t="s">
        <v>451</v>
      </c>
      <c r="C29">
        <v>3.1009999999999999E-2</v>
      </c>
      <c r="D29" t="s">
        <v>452</v>
      </c>
      <c r="E29">
        <f t="shared" ca="1" si="4"/>
        <v>3.9896306428838645E-2</v>
      </c>
      <c r="F29">
        <f t="shared" ca="1" si="5"/>
        <v>-5.2392549431822838E-2</v>
      </c>
      <c r="G29">
        <f t="shared" ca="1" si="6"/>
        <v>-6.2481215014920967E-3</v>
      </c>
      <c r="H29" t="str">
        <f t="shared" si="7"/>
        <v>0-0.05</v>
      </c>
      <c r="I29">
        <f t="shared" ca="1" si="8"/>
        <v>1.9564577255269597E-2</v>
      </c>
      <c r="J29">
        <f t="shared" ca="1" si="9"/>
        <v>1.8425333936742276E-2</v>
      </c>
      <c r="K29">
        <f t="shared" si="10"/>
        <v>5.6999999999999993E-3</v>
      </c>
    </row>
    <row r="30" spans="1:11" x14ac:dyDescent="0.35">
      <c r="A30" t="s">
        <v>99</v>
      </c>
      <c r="B30" t="s">
        <v>100</v>
      </c>
      <c r="C30">
        <v>1.1480000000000001E-2</v>
      </c>
      <c r="D30" t="s">
        <v>101</v>
      </c>
      <c r="E30">
        <f t="shared" ca="1" si="4"/>
        <v>3.5154111641966914E-3</v>
      </c>
      <c r="F30">
        <f t="shared" ca="1" si="5"/>
        <v>-5.2362644354846395E-2</v>
      </c>
      <c r="G30">
        <f t="shared" ca="1" si="6"/>
        <v>-2.4423616595324851E-2</v>
      </c>
      <c r="H30" t="str">
        <f t="shared" si="7"/>
        <v>0-0.05</v>
      </c>
      <c r="I30">
        <f t="shared" ca="1" si="8"/>
        <v>0.14064255809467585</v>
      </c>
      <c r="J30">
        <f t="shared" ca="1" si="9"/>
        <v>0.14809780803215752</v>
      </c>
      <c r="K30">
        <f t="shared" si="10"/>
        <v>1.4000000000000002E-3</v>
      </c>
    </row>
    <row r="31" spans="1:11" x14ac:dyDescent="0.35">
      <c r="A31" t="s">
        <v>478</v>
      </c>
      <c r="B31" t="s">
        <v>479</v>
      </c>
      <c r="C31">
        <v>6.391E-3</v>
      </c>
      <c r="D31" t="s">
        <v>80</v>
      </c>
      <c r="E31">
        <f t="shared" ca="1" si="4"/>
        <v>4.5378512486944581E-3</v>
      </c>
      <c r="F31">
        <f t="shared" ca="1" si="5"/>
        <v>1.1513700711246911E-3</v>
      </c>
      <c r="G31">
        <f t="shared" ca="1" si="6"/>
        <v>2.8446106599095745E-3</v>
      </c>
      <c r="H31" t="str">
        <f t="shared" si="7"/>
        <v>0-0.05</v>
      </c>
      <c r="I31">
        <f t="shared" ca="1" si="8"/>
        <v>3.2724521088776444E-2</v>
      </c>
      <c r="J31">
        <f t="shared" ca="1" si="9"/>
        <v>3.2298594628520284E-2</v>
      </c>
      <c r="K31">
        <f t="shared" si="10"/>
        <v>1.21E-2</v>
      </c>
    </row>
    <row r="32" spans="1:11" x14ac:dyDescent="0.35">
      <c r="A32" t="s">
        <v>460</v>
      </c>
      <c r="B32" t="s">
        <v>461</v>
      </c>
      <c r="C32">
        <v>3.1489999999999999E-3</v>
      </c>
      <c r="D32" t="s">
        <v>80</v>
      </c>
      <c r="E32">
        <f t="shared" ca="1" si="4"/>
        <v>1.9875893741735484E-2</v>
      </c>
      <c r="F32">
        <f t="shared" ca="1" si="5"/>
        <v>5.809155780792663E-2</v>
      </c>
      <c r="G32">
        <f t="shared" ca="1" si="6"/>
        <v>3.8983725774831057E-2</v>
      </c>
      <c r="H32" t="str">
        <f t="shared" si="7"/>
        <v>0-0.05</v>
      </c>
      <c r="I32">
        <f t="shared" ca="1" si="8"/>
        <v>1.2114338814961965E-2</v>
      </c>
      <c r="J32">
        <f t="shared" ca="1" si="9"/>
        <v>1.1520499291827612E-2</v>
      </c>
      <c r="K32">
        <f t="shared" si="10"/>
        <v>1.1299999999999999E-2</v>
      </c>
    </row>
    <row r="33" spans="1:11" x14ac:dyDescent="0.35">
      <c r="A33" t="s">
        <v>39</v>
      </c>
      <c r="B33" t="s">
        <v>40</v>
      </c>
      <c r="C33">
        <v>2.06</v>
      </c>
      <c r="D33" t="s">
        <v>41</v>
      </c>
      <c r="E33">
        <f t="shared" ca="1" si="4"/>
        <v>-9.4883361119100194E-4</v>
      </c>
      <c r="F33">
        <f t="shared" ca="1" si="5"/>
        <v>-2.5656625551184926E-2</v>
      </c>
      <c r="G33">
        <f t="shared" ca="1" si="6"/>
        <v>-1.3302729581187965E-2</v>
      </c>
      <c r="H33" t="str">
        <f t="shared" si="7"/>
        <v>0.5-5</v>
      </c>
      <c r="I33">
        <f t="shared" ca="1" si="8"/>
        <v>6.3836500563805498E-3</v>
      </c>
      <c r="J33">
        <f t="shared" ca="1" si="9"/>
        <v>6.4201336113249357E-3</v>
      </c>
      <c r="K33">
        <f t="shared" si="10"/>
        <v>0</v>
      </c>
    </row>
    <row r="34" spans="1:11" x14ac:dyDescent="0.35">
      <c r="A34" t="s">
        <v>408</v>
      </c>
      <c r="B34" t="s">
        <v>409</v>
      </c>
      <c r="C34">
        <v>7.7060000000000002E-3</v>
      </c>
      <c r="D34" t="s">
        <v>410</v>
      </c>
      <c r="E34">
        <f t="shared" ca="1" si="4"/>
        <v>3.5651243918941998E-2</v>
      </c>
      <c r="F34">
        <f t="shared" ca="1" si="5"/>
        <v>5.8339650306326984E-2</v>
      </c>
      <c r="G34">
        <f t="shared" ca="1" si="6"/>
        <v>4.6995447112634495E-2</v>
      </c>
      <c r="H34" t="str">
        <f t="shared" si="7"/>
        <v>0-0.05</v>
      </c>
      <c r="I34">
        <f t="shared" ca="1" si="8"/>
        <v>2.9761129618346618E-3</v>
      </c>
      <c r="J34">
        <f t="shared" ca="1" si="9"/>
        <v>3.2128584328179276E-3</v>
      </c>
      <c r="K34">
        <f t="shared" si="10"/>
        <v>0</v>
      </c>
    </row>
    <row r="35" spans="1:11" x14ac:dyDescent="0.35">
      <c r="A35" t="s">
        <v>493</v>
      </c>
      <c r="B35" t="s">
        <v>494</v>
      </c>
      <c r="C35">
        <v>4.4560000000000002E-2</v>
      </c>
      <c r="D35" t="s">
        <v>227</v>
      </c>
      <c r="E35">
        <f t="shared" ca="1" si="4"/>
        <v>-4.1604460210465863E-4</v>
      </c>
      <c r="F35">
        <f t="shared" ca="1" si="5"/>
        <v>-3.359359907499785E-2</v>
      </c>
      <c r="G35">
        <f t="shared" ca="1" si="6"/>
        <v>-1.7004821838551253E-2</v>
      </c>
      <c r="H35" t="str">
        <f t="shared" si="7"/>
        <v>0-0.05</v>
      </c>
      <c r="I35">
        <f t="shared" ca="1" si="8"/>
        <v>2.1142443762860705</v>
      </c>
      <c r="J35">
        <f t="shared" ca="1" si="9"/>
        <v>2.0580472555904765</v>
      </c>
      <c r="K35">
        <f t="shared" si="10"/>
        <v>1.1699999999999999E-2</v>
      </c>
    </row>
    <row r="36" spans="1:11" x14ac:dyDescent="0.35">
      <c r="A36" t="s">
        <v>231</v>
      </c>
      <c r="B36" t="s">
        <v>232</v>
      </c>
      <c r="C36">
        <v>2.0410000000000001E-2</v>
      </c>
      <c r="D36" t="s">
        <v>233</v>
      </c>
      <c r="E36">
        <f t="shared" ref="E36:E67" ca="1" si="11">D36 + (RAND()-0.5)/10</f>
        <v>8.5361282027292512E-2</v>
      </c>
      <c r="F36">
        <f t="shared" ref="F36:F67" ca="1" si="12">D36 + (RAND()-0.5)/5</f>
        <v>6.6183895099776471E-2</v>
      </c>
      <c r="G36">
        <f t="shared" ref="G36:G67" ca="1" si="13">AVERAGE(D36,E36,F36)</f>
        <v>7.5772588563534499E-2</v>
      </c>
      <c r="H36" t="str">
        <f t="shared" ref="H36:H67" si="14">IF(C36&lt;=0.05,"0-0.05",
IF(C36&lt;=0.5,"0.05-0.5",
IF(C36&lt;=5,"0.5-5",
IF(C36&lt;=50,"5-50","&gt;50"))))</f>
        <v>0-0.05</v>
      </c>
      <c r="I36">
        <f t="shared" ca="1" si="8"/>
        <v>7.2812163824435448E-3</v>
      </c>
      <c r="J36">
        <f t="shared" ca="1" si="9"/>
        <v>7.9908849899032533E-3</v>
      </c>
      <c r="K36">
        <f t="shared" si="10"/>
        <v>8.9999999999999998E-4</v>
      </c>
    </row>
    <row r="37" spans="1:11" x14ac:dyDescent="0.35">
      <c r="A37" t="s">
        <v>394</v>
      </c>
      <c r="B37" t="s">
        <v>395</v>
      </c>
      <c r="C37">
        <v>8.4449999999999994E-3</v>
      </c>
      <c r="D37" t="s">
        <v>145</v>
      </c>
      <c r="E37">
        <f t="shared" ca="1" si="11"/>
        <v>-3.3016193826890437E-2</v>
      </c>
      <c r="F37">
        <f t="shared" ca="1" si="12"/>
        <v>-8.228365013228342E-2</v>
      </c>
      <c r="G37">
        <f t="shared" ca="1" si="13"/>
        <v>-5.7649921979586932E-2</v>
      </c>
      <c r="H37" t="str">
        <f t="shared" si="14"/>
        <v>0-0.05</v>
      </c>
      <c r="I37">
        <f t="shared" ca="1" si="8"/>
        <v>4.6108966121653487E-2</v>
      </c>
      <c r="J37">
        <f t="shared" ca="1" si="9"/>
        <v>4.4541468762351613E-2</v>
      </c>
      <c r="K37">
        <f t="shared" si="10"/>
        <v>1.26E-2</v>
      </c>
    </row>
    <row r="38" spans="1:11" x14ac:dyDescent="0.35">
      <c r="A38" t="s">
        <v>433</v>
      </c>
      <c r="B38" t="s">
        <v>434</v>
      </c>
      <c r="C38">
        <v>2.5270000000000002E-3</v>
      </c>
      <c r="D38" t="s">
        <v>435</v>
      </c>
      <c r="E38">
        <f t="shared" ca="1" si="11"/>
        <v>3.3625503798864351E-2</v>
      </c>
      <c r="F38">
        <f t="shared" ca="1" si="12"/>
        <v>6.0106716947031742E-2</v>
      </c>
      <c r="G38">
        <f t="shared" ca="1" si="13"/>
        <v>4.686611037294805E-2</v>
      </c>
      <c r="H38" t="str">
        <f t="shared" si="14"/>
        <v>0-0.05</v>
      </c>
      <c r="I38">
        <f t="shared" ca="1" si="8"/>
        <v>1.9143039107798545E-2</v>
      </c>
      <c r="J38">
        <f t="shared" ca="1" si="9"/>
        <v>2.2314821796784061E-2</v>
      </c>
      <c r="K38">
        <f t="shared" si="10"/>
        <v>4.24E-2</v>
      </c>
    </row>
    <row r="39" spans="1:11" x14ac:dyDescent="0.35">
      <c r="A39" t="s">
        <v>364</v>
      </c>
      <c r="B39" t="s">
        <v>365</v>
      </c>
      <c r="C39">
        <v>5.1869999999999998E-3</v>
      </c>
      <c r="D39" t="s">
        <v>366</v>
      </c>
      <c r="E39">
        <f t="shared" ca="1" si="11"/>
        <v>1.7620792013112306E-2</v>
      </c>
      <c r="F39">
        <f t="shared" ca="1" si="12"/>
        <v>3.1515109530251703E-2</v>
      </c>
      <c r="G39">
        <f t="shared" ca="1" si="13"/>
        <v>2.4567950771682005E-2</v>
      </c>
      <c r="H39" t="str">
        <f t="shared" si="14"/>
        <v>0-0.05</v>
      </c>
      <c r="I39">
        <f t="shared" ca="1" si="8"/>
        <v>9.2021897629014637E-3</v>
      </c>
      <c r="J39">
        <f t="shared" ca="1" si="9"/>
        <v>8.1750896553855826E-3</v>
      </c>
      <c r="K39">
        <f t="shared" si="10"/>
        <v>2.0000000000000001E-4</v>
      </c>
    </row>
    <row r="40" spans="1:11" x14ac:dyDescent="0.35">
      <c r="A40" t="s">
        <v>65</v>
      </c>
      <c r="B40" t="s">
        <v>66</v>
      </c>
      <c r="C40">
        <v>4.32</v>
      </c>
      <c r="D40" t="s">
        <v>67</v>
      </c>
      <c r="E40">
        <f t="shared" ca="1" si="11"/>
        <v>1.4097422815631741E-2</v>
      </c>
      <c r="F40">
        <f t="shared" ca="1" si="12"/>
        <v>-2.4999272377569617E-2</v>
      </c>
      <c r="G40">
        <f t="shared" ca="1" si="13"/>
        <v>-5.4509247809689382E-3</v>
      </c>
      <c r="H40" t="str">
        <f t="shared" si="14"/>
        <v>0.5-5</v>
      </c>
      <c r="I40">
        <f t="shared" ref="I40:I59" ca="1" si="15">C38/(1+F38)</f>
        <v>2.3837222796563619E-3</v>
      </c>
      <c r="J40">
        <f t="shared" ref="J40:J59" ca="1" si="16">C38/(1-E38)</f>
        <v>2.6149282808411831E-3</v>
      </c>
      <c r="K40">
        <f t="shared" ref="K40:K59" si="17">VALUE(SUBSTITUTE(D38,"%",""))/100</f>
        <v>5.8999999999999999E-3</v>
      </c>
    </row>
    <row r="41" spans="1:11" x14ac:dyDescent="0.35">
      <c r="A41" t="s">
        <v>24</v>
      </c>
      <c r="B41" t="s">
        <v>25</v>
      </c>
      <c r="C41">
        <v>0.27339999999999998</v>
      </c>
      <c r="D41" t="s">
        <v>26</v>
      </c>
      <c r="E41">
        <f t="shared" ca="1" si="11"/>
        <v>4.4338510546247127E-3</v>
      </c>
      <c r="F41">
        <f t="shared" ca="1" si="12"/>
        <v>5.3974968366853775E-2</v>
      </c>
      <c r="G41">
        <f t="shared" ca="1" si="13"/>
        <v>2.9204409710739242E-2</v>
      </c>
      <c r="H41" t="str">
        <f t="shared" si="14"/>
        <v>0.05-0.5</v>
      </c>
      <c r="I41">
        <f t="shared" ca="1" si="15"/>
        <v>5.028525469066702E-3</v>
      </c>
      <c r="J41">
        <f t="shared" ca="1" si="16"/>
        <v>5.2800384595163719E-3</v>
      </c>
      <c r="K41">
        <f t="shared" si="17"/>
        <v>3.7000000000000002E-3</v>
      </c>
    </row>
    <row r="42" spans="1:11" x14ac:dyDescent="0.35">
      <c r="A42" t="s">
        <v>248</v>
      </c>
      <c r="B42" t="s">
        <v>249</v>
      </c>
      <c r="C42">
        <v>3.0099999999999998E-2</v>
      </c>
      <c r="D42" t="s">
        <v>250</v>
      </c>
      <c r="E42">
        <f t="shared" ca="1" si="11"/>
        <v>5.0079007680285725E-2</v>
      </c>
      <c r="F42">
        <f t="shared" ca="1" si="12"/>
        <v>-6.9166081705874488E-2</v>
      </c>
      <c r="G42">
        <f t="shared" ca="1" si="13"/>
        <v>-9.5435370127943814E-3</v>
      </c>
      <c r="H42" t="str">
        <f t="shared" si="14"/>
        <v>0-0.05</v>
      </c>
      <c r="I42">
        <f t="shared" ca="1" si="15"/>
        <v>4.4307659241798261</v>
      </c>
      <c r="J42">
        <f t="shared" ca="1" si="16"/>
        <v>4.3817716881696933</v>
      </c>
      <c r="K42">
        <f t="shared" si="17"/>
        <v>4.5000000000000005E-3</v>
      </c>
    </row>
    <row r="43" spans="1:11" x14ac:dyDescent="0.35">
      <c r="A43" t="s">
        <v>462</v>
      </c>
      <c r="B43" t="s">
        <v>463</v>
      </c>
      <c r="C43">
        <v>7.8279999999999999E-3</v>
      </c>
      <c r="D43" t="s">
        <v>464</v>
      </c>
      <c r="E43">
        <f t="shared" ca="1" si="11"/>
        <v>0.23013186996207141</v>
      </c>
      <c r="F43">
        <f t="shared" ca="1" si="12"/>
        <v>8.9310686659267169E-2</v>
      </c>
      <c r="G43">
        <f t="shared" ca="1" si="13"/>
        <v>0.15972127831066929</v>
      </c>
      <c r="H43" t="str">
        <f t="shared" si="14"/>
        <v>0-0.05</v>
      </c>
      <c r="I43">
        <f t="shared" ca="1" si="15"/>
        <v>0.25939894988553325</v>
      </c>
      <c r="J43">
        <f t="shared" ca="1" si="16"/>
        <v>0.27461761359565962</v>
      </c>
      <c r="K43">
        <f t="shared" si="17"/>
        <v>3.5999999999999999E-3</v>
      </c>
    </row>
    <row r="44" spans="1:11" x14ac:dyDescent="0.35">
      <c r="A44" t="s">
        <v>234</v>
      </c>
      <c r="B44" t="s">
        <v>235</v>
      </c>
      <c r="C44">
        <v>1.2229999999999999E-3</v>
      </c>
      <c r="D44" t="s">
        <v>145</v>
      </c>
      <c r="E44">
        <f t="shared" ca="1" si="11"/>
        <v>-4.9160455744088685E-2</v>
      </c>
      <c r="F44">
        <f t="shared" ca="1" si="12"/>
        <v>8.7655476980312827E-2</v>
      </c>
      <c r="G44">
        <f t="shared" ca="1" si="13"/>
        <v>1.9247510618112071E-2</v>
      </c>
      <c r="H44" t="str">
        <f t="shared" si="14"/>
        <v>0-0.05</v>
      </c>
      <c r="I44">
        <f t="shared" ca="1" si="15"/>
        <v>3.23365956143521E-2</v>
      </c>
      <c r="J44">
        <f t="shared" ca="1" si="16"/>
        <v>3.1686845793875519E-2</v>
      </c>
      <c r="K44">
        <f t="shared" si="17"/>
        <v>1.5800000000000002E-2</v>
      </c>
    </row>
    <row r="45" spans="1:11" x14ac:dyDescent="0.35">
      <c r="A45" t="s">
        <v>341</v>
      </c>
      <c r="B45" t="s">
        <v>342</v>
      </c>
      <c r="C45">
        <v>2.5340000000000001E-2</v>
      </c>
      <c r="D45" t="s">
        <v>80</v>
      </c>
      <c r="E45">
        <f t="shared" ca="1" si="11"/>
        <v>2.0622682319541109E-2</v>
      </c>
      <c r="F45">
        <f t="shared" ca="1" si="12"/>
        <v>2.6934425480120707E-4</v>
      </c>
      <c r="G45">
        <f t="shared" ca="1" si="13"/>
        <v>1.0446013287171157E-2</v>
      </c>
      <c r="H45" t="str">
        <f t="shared" si="14"/>
        <v>0-0.05</v>
      </c>
      <c r="I45">
        <f t="shared" ca="1" si="15"/>
        <v>7.1861959089074582E-3</v>
      </c>
      <c r="J45">
        <f t="shared" ca="1" si="16"/>
        <v>1.0167975130512732E-2</v>
      </c>
      <c r="K45">
        <f t="shared" si="17"/>
        <v>0.18789999999999998</v>
      </c>
    </row>
    <row r="46" spans="1:11" x14ac:dyDescent="0.35">
      <c r="A46" t="s">
        <v>467</v>
      </c>
      <c r="B46" t="s">
        <v>468</v>
      </c>
      <c r="C46">
        <v>9.6310000000000007E-3</v>
      </c>
      <c r="D46" t="s">
        <v>469</v>
      </c>
      <c r="E46">
        <f t="shared" ca="1" si="11"/>
        <v>-1.2399164337973436E-2</v>
      </c>
      <c r="F46">
        <f t="shared" ca="1" si="12"/>
        <v>-3.5412695284167954E-2</v>
      </c>
      <c r="G46">
        <f t="shared" ca="1" si="13"/>
        <v>-2.3905929811070696E-2</v>
      </c>
      <c r="H46" t="str">
        <f t="shared" si="14"/>
        <v>0-0.05</v>
      </c>
      <c r="I46">
        <f t="shared" ca="1" si="15"/>
        <v>1.1244369433926337E-3</v>
      </c>
      <c r="J46">
        <f t="shared" ca="1" si="16"/>
        <v>1.1656939539649539E-3</v>
      </c>
      <c r="K46">
        <f t="shared" si="17"/>
        <v>2.0000000000000001E-4</v>
      </c>
    </row>
    <row r="47" spans="1:11" x14ac:dyDescent="0.35">
      <c r="A47" t="s">
        <v>359</v>
      </c>
      <c r="B47" t="s">
        <v>360</v>
      </c>
      <c r="C47">
        <v>1.011E-3</v>
      </c>
      <c r="D47" t="s">
        <v>361</v>
      </c>
      <c r="E47">
        <f t="shared" ca="1" si="11"/>
        <v>-2.4646210283771321E-2</v>
      </c>
      <c r="F47">
        <f t="shared" ca="1" si="12"/>
        <v>9.7084985161613568E-2</v>
      </c>
      <c r="G47">
        <f t="shared" ca="1" si="13"/>
        <v>3.6219387438921127E-2</v>
      </c>
      <c r="H47" t="str">
        <f t="shared" si="14"/>
        <v>0-0.05</v>
      </c>
      <c r="I47">
        <f t="shared" ca="1" si="15"/>
        <v>2.5333176654412273E-2</v>
      </c>
      <c r="J47">
        <f t="shared" ca="1" si="16"/>
        <v>2.5873582675995439E-2</v>
      </c>
      <c r="K47">
        <f t="shared" si="17"/>
        <v>0</v>
      </c>
    </row>
    <row r="48" spans="1:11" x14ac:dyDescent="0.35">
      <c r="A48" t="s">
        <v>289</v>
      </c>
      <c r="B48" t="s">
        <v>290</v>
      </c>
      <c r="C48">
        <v>1.193E-2</v>
      </c>
      <c r="D48" t="s">
        <v>190</v>
      </c>
      <c r="E48">
        <f t="shared" ca="1" si="11"/>
        <v>3.046020007664544E-2</v>
      </c>
      <c r="F48">
        <f t="shared" ca="1" si="12"/>
        <v>-3.2936266497870406E-3</v>
      </c>
      <c r="G48">
        <f t="shared" ca="1" si="13"/>
        <v>1.3583286713429199E-2</v>
      </c>
      <c r="H48" t="str">
        <f t="shared" si="14"/>
        <v>0-0.05</v>
      </c>
      <c r="I48">
        <f t="shared" ca="1" si="15"/>
        <v>9.984580921721024E-3</v>
      </c>
      <c r="J48">
        <f t="shared" ca="1" si="16"/>
        <v>9.513046177095464E-3</v>
      </c>
      <c r="K48">
        <f t="shared" si="17"/>
        <v>2.8000000000000004E-3</v>
      </c>
    </row>
    <row r="49" spans="1:11" x14ac:dyDescent="0.35">
      <c r="A49" t="s">
        <v>420</v>
      </c>
      <c r="B49" t="s">
        <v>421</v>
      </c>
      <c r="C49">
        <v>4.2319999999999999E-4</v>
      </c>
      <c r="D49" t="s">
        <v>422</v>
      </c>
      <c r="E49">
        <f t="shared" ca="1" si="11"/>
        <v>2.2335929284078973E-2</v>
      </c>
      <c r="F49">
        <f t="shared" ca="1" si="12"/>
        <v>-2.2651428058775958E-2</v>
      </c>
      <c r="G49">
        <f t="shared" ca="1" si="13"/>
        <v>-1.5774938734849225E-4</v>
      </c>
      <c r="H49" t="str">
        <f t="shared" si="14"/>
        <v>0-0.05</v>
      </c>
      <c r="I49">
        <f t="shared" ca="1" si="15"/>
        <v>9.2153298392928763E-4</v>
      </c>
      <c r="J49">
        <f t="shared" ca="1" si="16"/>
        <v>9.8668202727262124E-4</v>
      </c>
      <c r="K49">
        <f t="shared" si="17"/>
        <v>2E-3</v>
      </c>
    </row>
    <row r="50" spans="1:11" x14ac:dyDescent="0.35">
      <c r="A50" t="s">
        <v>27</v>
      </c>
      <c r="B50" t="s">
        <v>28</v>
      </c>
      <c r="C50">
        <v>0.16539999999999999</v>
      </c>
      <c r="D50" t="s">
        <v>29</v>
      </c>
      <c r="E50">
        <f t="shared" ca="1" si="11"/>
        <v>2.0086946901098027E-2</v>
      </c>
      <c r="F50">
        <f t="shared" ca="1" si="12"/>
        <v>6.0903543949068439E-2</v>
      </c>
      <c r="G50">
        <f t="shared" ca="1" si="13"/>
        <v>4.0495245425083232E-2</v>
      </c>
      <c r="H50" t="str">
        <f t="shared" si="14"/>
        <v>0.05-0.5</v>
      </c>
      <c r="I50">
        <f t="shared" ca="1" si="15"/>
        <v>1.1969422809949419E-2</v>
      </c>
      <c r="J50">
        <f t="shared" ca="1" si="16"/>
        <v>1.2304806879452609E-2</v>
      </c>
      <c r="K50">
        <f t="shared" si="17"/>
        <v>5.0000000000000001E-4</v>
      </c>
    </row>
    <row r="51" spans="1:11" x14ac:dyDescent="0.35">
      <c r="A51" t="s">
        <v>367</v>
      </c>
      <c r="B51" t="s">
        <v>368</v>
      </c>
      <c r="C51">
        <v>1.885E-3</v>
      </c>
      <c r="D51" t="s">
        <v>62</v>
      </c>
      <c r="E51">
        <f t="shared" ca="1" si="11"/>
        <v>-1.6783670915892179E-2</v>
      </c>
      <c r="F51">
        <f t="shared" ca="1" si="12"/>
        <v>-2.3659536429495288E-2</v>
      </c>
      <c r="G51">
        <f t="shared" ca="1" si="13"/>
        <v>-2.0221603672693732E-2</v>
      </c>
      <c r="H51" t="str">
        <f t="shared" si="14"/>
        <v>0-0.05</v>
      </c>
      <c r="I51">
        <f t="shared" ca="1" si="15"/>
        <v>4.3300825534479877E-4</v>
      </c>
      <c r="J51">
        <f t="shared" ca="1" si="16"/>
        <v>4.3286852066692021E-4</v>
      </c>
      <c r="K51">
        <f t="shared" si="17"/>
        <v>9.7000000000000003E-3</v>
      </c>
    </row>
    <row r="52" spans="1:11" x14ac:dyDescent="0.35">
      <c r="A52" t="s">
        <v>220</v>
      </c>
      <c r="B52" t="s">
        <v>221</v>
      </c>
      <c r="C52">
        <v>2.6540000000000001E-2</v>
      </c>
      <c r="D52" t="s">
        <v>222</v>
      </c>
      <c r="E52">
        <f t="shared" ca="1" si="11"/>
        <v>-2.2309221512620051E-2</v>
      </c>
      <c r="F52">
        <f t="shared" ca="1" si="12"/>
        <v>1.8900780928892833E-2</v>
      </c>
      <c r="G52">
        <f t="shared" ca="1" si="13"/>
        <v>-1.704220291863609E-3</v>
      </c>
      <c r="H52" t="str">
        <f t="shared" si="14"/>
        <v>0-0.05</v>
      </c>
      <c r="I52">
        <f t="shared" ca="1" si="15"/>
        <v>0.15590484256874201</v>
      </c>
      <c r="J52">
        <f t="shared" ca="1" si="16"/>
        <v>0.16879048552005183</v>
      </c>
      <c r="K52">
        <f t="shared" si="17"/>
        <v>9.3999999999999986E-3</v>
      </c>
    </row>
    <row r="53" spans="1:11" x14ac:dyDescent="0.35">
      <c r="A53" t="s">
        <v>71</v>
      </c>
      <c r="B53" t="s">
        <v>72</v>
      </c>
      <c r="C53">
        <v>1.43</v>
      </c>
      <c r="D53" t="s">
        <v>73</v>
      </c>
      <c r="E53">
        <f t="shared" ca="1" si="11"/>
        <v>1.0306051563651469E-2</v>
      </c>
      <c r="F53">
        <f t="shared" ca="1" si="12"/>
        <v>4.8345963514206452E-3</v>
      </c>
      <c r="G53">
        <f t="shared" ca="1" si="13"/>
        <v>7.5703239575360577E-3</v>
      </c>
      <c r="H53" t="str">
        <f t="shared" si="14"/>
        <v>0.5-5</v>
      </c>
      <c r="I53">
        <f t="shared" ca="1" si="15"/>
        <v>1.9306789694104262E-3</v>
      </c>
      <c r="J53">
        <f t="shared" ca="1" si="16"/>
        <v>1.8538850041740355E-3</v>
      </c>
      <c r="K53">
        <f t="shared" si="17"/>
        <v>1E-4</v>
      </c>
    </row>
    <row r="54" spans="1:11" x14ac:dyDescent="0.35">
      <c r="A54" t="s">
        <v>122</v>
      </c>
      <c r="B54" t="s">
        <v>123</v>
      </c>
      <c r="C54">
        <v>1.5169999999999999E-3</v>
      </c>
      <c r="D54" t="s">
        <v>124</v>
      </c>
      <c r="E54">
        <f t="shared" ca="1" si="11"/>
        <v>1.3569373155915304E-2</v>
      </c>
      <c r="F54">
        <f t="shared" ca="1" si="12"/>
        <v>-2.8030479575663795E-2</v>
      </c>
      <c r="G54">
        <f t="shared" ca="1" si="13"/>
        <v>-7.2305532098742454E-3</v>
      </c>
      <c r="H54" t="str">
        <f t="shared" si="14"/>
        <v>0-0.05</v>
      </c>
      <c r="I54">
        <f t="shared" ca="1" si="15"/>
        <v>2.6047678534316658E-2</v>
      </c>
      <c r="J54">
        <f t="shared" ca="1" si="16"/>
        <v>2.596083400356217E-2</v>
      </c>
      <c r="K54">
        <f t="shared" si="17"/>
        <v>3.3E-3</v>
      </c>
    </row>
    <row r="55" spans="1:11" x14ac:dyDescent="0.35">
      <c r="A55" t="s">
        <v>338</v>
      </c>
      <c r="B55" t="s">
        <v>339</v>
      </c>
      <c r="C55">
        <v>1.508E-2</v>
      </c>
      <c r="D55" t="s">
        <v>340</v>
      </c>
      <c r="E55">
        <f t="shared" ca="1" si="11"/>
        <v>4.7462067357396821E-3</v>
      </c>
      <c r="F55">
        <f t="shared" ca="1" si="12"/>
        <v>-1.3004432805777084E-2</v>
      </c>
      <c r="G55">
        <f t="shared" ca="1" si="13"/>
        <v>-4.1291130350187008E-3</v>
      </c>
      <c r="H55" t="str">
        <f t="shared" si="14"/>
        <v>0-0.05</v>
      </c>
      <c r="I55">
        <f t="shared" ca="1" si="15"/>
        <v>1.4231197902544015</v>
      </c>
      <c r="J55">
        <f t="shared" ca="1" si="16"/>
        <v>1.4448911224114345</v>
      </c>
      <c r="K55">
        <f t="shared" si="17"/>
        <v>5.1999999999999998E-3</v>
      </c>
    </row>
    <row r="56" spans="1:11" x14ac:dyDescent="0.35">
      <c r="A56" t="s">
        <v>191</v>
      </c>
      <c r="B56" t="s">
        <v>192</v>
      </c>
      <c r="C56">
        <v>2.5299999999999998</v>
      </c>
      <c r="D56" t="s">
        <v>193</v>
      </c>
      <c r="E56">
        <f t="shared" ca="1" si="11"/>
        <v>-2.1019316917337674E-2</v>
      </c>
      <c r="F56">
        <f t="shared" ca="1" si="12"/>
        <v>5.5890043675889851E-2</v>
      </c>
      <c r="G56">
        <f t="shared" ca="1" si="13"/>
        <v>1.7435363379276089E-2</v>
      </c>
      <c r="H56" t="str">
        <f t="shared" si="14"/>
        <v>0.5-5</v>
      </c>
      <c r="I56">
        <f t="shared" ca="1" si="15"/>
        <v>1.5607485297869401E-3</v>
      </c>
      <c r="J56">
        <f t="shared" ca="1" si="16"/>
        <v>1.5378679034463688E-3</v>
      </c>
      <c r="K56">
        <f t="shared" si="17"/>
        <v>1.8799999999999997E-2</v>
      </c>
    </row>
    <row r="57" spans="1:11" x14ac:dyDescent="0.35">
      <c r="A57" t="s">
        <v>45</v>
      </c>
      <c r="B57" t="s">
        <v>46</v>
      </c>
      <c r="C57">
        <v>0.52070000000000005</v>
      </c>
      <c r="D57" t="s">
        <v>47</v>
      </c>
      <c r="E57">
        <f t="shared" ca="1" si="11"/>
        <v>-3.3896349413620689E-3</v>
      </c>
      <c r="F57">
        <f t="shared" ca="1" si="12"/>
        <v>-7.1447846447145136E-2</v>
      </c>
      <c r="G57">
        <f t="shared" ca="1" si="13"/>
        <v>-3.7418740694253605E-2</v>
      </c>
      <c r="H57" t="str">
        <f t="shared" si="14"/>
        <v>0.5-5</v>
      </c>
      <c r="I57">
        <f t="shared" ca="1" si="15"/>
        <v>1.5278690706654946E-2</v>
      </c>
      <c r="J57">
        <f t="shared" ca="1" si="16"/>
        <v>1.5151914116840698E-2</v>
      </c>
      <c r="K57">
        <f t="shared" si="17"/>
        <v>6.9999999999999993E-3</v>
      </c>
    </row>
    <row r="58" spans="1:11" x14ac:dyDescent="0.35">
      <c r="A58" t="s">
        <v>413</v>
      </c>
      <c r="B58" t="s">
        <v>414</v>
      </c>
      <c r="C58">
        <v>7.4697E-2</v>
      </c>
      <c r="D58" t="s">
        <v>264</v>
      </c>
      <c r="E58">
        <f t="shared" ca="1" si="11"/>
        <v>-6.1943018678692792E-3</v>
      </c>
      <c r="F58">
        <f t="shared" ca="1" si="12"/>
        <v>-8.2285949375781778E-2</v>
      </c>
      <c r="G58">
        <f t="shared" ca="1" si="13"/>
        <v>-4.4240125621825527E-2</v>
      </c>
      <c r="H58" t="str">
        <f t="shared" si="14"/>
        <v>0.05-0.5</v>
      </c>
      <c r="I58">
        <f t="shared" ca="1" si="15"/>
        <v>2.3960828261930223</v>
      </c>
      <c r="J58">
        <f t="shared" ca="1" si="16"/>
        <v>2.4779159003950855</v>
      </c>
      <c r="K58">
        <f t="shared" si="17"/>
        <v>4.4000000000000003E-3</v>
      </c>
    </row>
    <row r="59" spans="1:11" x14ac:dyDescent="0.35">
      <c r="A59" t="s">
        <v>309</v>
      </c>
      <c r="B59" t="s">
        <v>310</v>
      </c>
      <c r="C59">
        <v>9.0589999999999993E-3</v>
      </c>
      <c r="D59" t="s">
        <v>311</v>
      </c>
      <c r="E59">
        <f t="shared" ca="1" si="11"/>
        <v>5.8679163927107661E-2</v>
      </c>
      <c r="F59">
        <f t="shared" ca="1" si="12"/>
        <v>8.0005536197154448E-2</v>
      </c>
      <c r="G59">
        <f t="shared" ca="1" si="13"/>
        <v>6.9342350062131047E-2</v>
      </c>
      <c r="H59" t="str">
        <f t="shared" si="14"/>
        <v>0-0.05</v>
      </c>
      <c r="I59">
        <f t="shared" ca="1" si="15"/>
        <v>0.56076548636248558</v>
      </c>
      <c r="J59">
        <f t="shared" ca="1" si="16"/>
        <v>0.5189409795233032</v>
      </c>
      <c r="K59">
        <f t="shared" si="17"/>
        <v>6.6E-3</v>
      </c>
    </row>
    <row r="60" spans="1:11" hidden="1" x14ac:dyDescent="0.35">
      <c r="A60" t="s">
        <v>169</v>
      </c>
      <c r="B60" t="s">
        <v>170</v>
      </c>
      <c r="C60">
        <v>9.67</v>
      </c>
      <c r="D60" t="s">
        <v>18</v>
      </c>
      <c r="E60">
        <f t="shared" ca="1" si="11"/>
        <v>1.2526767787424752E-2</v>
      </c>
      <c r="F60">
        <f t="shared" ca="1" si="12"/>
        <v>2.8787984588160898E-2</v>
      </c>
      <c r="G60">
        <f t="shared" ca="1" si="13"/>
        <v>2.0657376187792825E-2</v>
      </c>
      <c r="H60" t="str">
        <f t="shared" si="14"/>
        <v>5-50</v>
      </c>
    </row>
    <row r="61" spans="1:11" hidden="1" x14ac:dyDescent="0.35">
      <c r="A61" t="s">
        <v>171</v>
      </c>
      <c r="B61" t="s">
        <v>172</v>
      </c>
      <c r="C61">
        <v>90.45</v>
      </c>
      <c r="D61" t="s">
        <v>173</v>
      </c>
      <c r="E61">
        <f t="shared" ca="1" si="11"/>
        <v>7.6658969954602946E-2</v>
      </c>
      <c r="F61">
        <f t="shared" ca="1" si="12"/>
        <v>-2.6580103293871931E-2</v>
      </c>
      <c r="G61">
        <f t="shared" ca="1" si="13"/>
        <v>2.5039433330365506E-2</v>
      </c>
      <c r="H61" t="str">
        <f t="shared" si="14"/>
        <v>&gt;50</v>
      </c>
    </row>
    <row r="62" spans="1:11" x14ac:dyDescent="0.35">
      <c r="A62" t="s">
        <v>197</v>
      </c>
      <c r="B62" t="s">
        <v>198</v>
      </c>
      <c r="C62">
        <v>0.2442</v>
      </c>
      <c r="D62" t="s">
        <v>93</v>
      </c>
      <c r="E62">
        <f t="shared" ca="1" si="11"/>
        <v>-4.2793720267377745E-2</v>
      </c>
      <c r="F62">
        <f t="shared" ca="1" si="12"/>
        <v>9.5532041604857482E-2</v>
      </c>
      <c r="G62">
        <f t="shared" ca="1" si="13"/>
        <v>2.6369160668739868E-2</v>
      </c>
      <c r="H62" t="str">
        <f t="shared" si="14"/>
        <v>0.05-0.5</v>
      </c>
      <c r="I62">
        <f t="shared" ref="I62:I97" ca="1" si="18">C60/(1+F60)</f>
        <v>9.3994099317470585</v>
      </c>
      <c r="J62">
        <f t="shared" ref="J62:J97" ca="1" si="19">C60/(1-E60)</f>
        <v>9.7926705094911579</v>
      </c>
      <c r="K62">
        <f t="shared" ref="K62:K97" si="20">VALUE(SUBSTITUTE(D60,"%",""))/100</f>
        <v>1E-3</v>
      </c>
    </row>
    <row r="63" spans="1:11" x14ac:dyDescent="0.35">
      <c r="A63" t="s">
        <v>199</v>
      </c>
      <c r="B63" t="s">
        <v>200</v>
      </c>
      <c r="C63">
        <v>0.33879999999999999</v>
      </c>
      <c r="D63" t="s">
        <v>121</v>
      </c>
      <c r="E63">
        <f t="shared" ca="1" si="11"/>
        <v>-3.1430157875665207E-2</v>
      </c>
      <c r="F63">
        <f t="shared" ca="1" si="12"/>
        <v>3.0194794141294317E-2</v>
      </c>
      <c r="G63">
        <f t="shared" ca="1" si="13"/>
        <v>-6.1768186718544511E-4</v>
      </c>
      <c r="H63" t="str">
        <f t="shared" si="14"/>
        <v>0.05-0.5</v>
      </c>
      <c r="I63">
        <f t="shared" ca="1" si="18"/>
        <v>92.919818370331228</v>
      </c>
      <c r="J63">
        <f t="shared" ca="1" si="19"/>
        <v>97.959472239149747</v>
      </c>
      <c r="K63">
        <f t="shared" si="20"/>
        <v>2.8199999999999999E-2</v>
      </c>
    </row>
    <row r="64" spans="1:11" x14ac:dyDescent="0.35">
      <c r="A64" t="s">
        <v>440</v>
      </c>
      <c r="B64" t="s">
        <v>440</v>
      </c>
      <c r="C64">
        <v>1.772E-2</v>
      </c>
      <c r="D64" t="s">
        <v>441</v>
      </c>
      <c r="E64">
        <f t="shared" ca="1" si="11"/>
        <v>-3.9275041057155416E-2</v>
      </c>
      <c r="F64">
        <f t="shared" ca="1" si="12"/>
        <v>7.3297547540067814E-2</v>
      </c>
      <c r="G64">
        <f t="shared" ca="1" si="13"/>
        <v>1.7011253241456199E-2</v>
      </c>
      <c r="H64" t="str">
        <f t="shared" si="14"/>
        <v>0-0.05</v>
      </c>
      <c r="I64">
        <f t="shared" ca="1" si="18"/>
        <v>0.22290539274622093</v>
      </c>
      <c r="J64">
        <f t="shared" ca="1" si="19"/>
        <v>0.23417862541153953</v>
      </c>
      <c r="K64">
        <f t="shared" si="20"/>
        <v>3.2000000000000002E-3</v>
      </c>
    </row>
    <row r="65" spans="1:11" x14ac:dyDescent="0.35">
      <c r="A65" t="s">
        <v>228</v>
      </c>
      <c r="B65" t="s">
        <v>229</v>
      </c>
      <c r="C65">
        <v>2.2439999999999999E-3</v>
      </c>
      <c r="D65" t="s">
        <v>230</v>
      </c>
      <c r="E65">
        <f t="shared" ca="1" si="11"/>
        <v>4.8594310899401173E-2</v>
      </c>
      <c r="F65">
        <f t="shared" ca="1" si="12"/>
        <v>-3.7196808065848221E-2</v>
      </c>
      <c r="G65">
        <f t="shared" ca="1" si="13"/>
        <v>5.6987514167764763E-3</v>
      </c>
      <c r="H65" t="str">
        <f t="shared" si="14"/>
        <v>0-0.05</v>
      </c>
      <c r="I65">
        <f t="shared" ca="1" si="18"/>
        <v>0.32886984279745113</v>
      </c>
      <c r="J65">
        <f t="shared" ca="1" si="19"/>
        <v>0.32847594906260336</v>
      </c>
      <c r="K65">
        <f t="shared" si="20"/>
        <v>6.8999999999999999E-3</v>
      </c>
    </row>
    <row r="66" spans="1:11" x14ac:dyDescent="0.35">
      <c r="A66" t="s">
        <v>204</v>
      </c>
      <c r="B66" t="s">
        <v>205</v>
      </c>
      <c r="C66">
        <v>0.1401</v>
      </c>
      <c r="D66" t="s">
        <v>206</v>
      </c>
      <c r="E66">
        <f t="shared" ca="1" si="11"/>
        <v>2.9711488132676975E-2</v>
      </c>
      <c r="F66">
        <f t="shared" ca="1" si="12"/>
        <v>2.3320646709114896E-3</v>
      </c>
      <c r="G66">
        <f t="shared" ca="1" si="13"/>
        <v>1.6021776401794231E-2</v>
      </c>
      <c r="H66" t="str">
        <f t="shared" si="14"/>
        <v>0.05-0.5</v>
      </c>
      <c r="I66">
        <f t="shared" ca="1" si="18"/>
        <v>1.6509867222386888E-2</v>
      </c>
      <c r="J66">
        <f t="shared" ca="1" si="19"/>
        <v>1.7050346924501462E-2</v>
      </c>
      <c r="K66">
        <f t="shared" si="20"/>
        <v>8.1000000000000013E-3</v>
      </c>
    </row>
    <row r="67" spans="1:11" x14ac:dyDescent="0.35">
      <c r="A67" t="s">
        <v>482</v>
      </c>
      <c r="B67" t="s">
        <v>483</v>
      </c>
      <c r="C67">
        <v>1.565E-3</v>
      </c>
      <c r="D67" t="s">
        <v>361</v>
      </c>
      <c r="E67">
        <f t="shared" ca="1" si="11"/>
        <v>2.4830364634735903E-2</v>
      </c>
      <c r="F67">
        <f t="shared" ca="1" si="12"/>
        <v>3.8513394099585006E-2</v>
      </c>
      <c r="G67">
        <f t="shared" ca="1" si="13"/>
        <v>3.1671879367160455E-2</v>
      </c>
      <c r="H67" t="str">
        <f t="shared" si="14"/>
        <v>0-0.05</v>
      </c>
      <c r="I67">
        <f t="shared" ca="1" si="18"/>
        <v>2.3306943919578034E-3</v>
      </c>
      <c r="J67">
        <f t="shared" ca="1" si="19"/>
        <v>2.3586152844233474E-3</v>
      </c>
      <c r="K67">
        <f t="shared" si="20"/>
        <v>4.1999999999999997E-3</v>
      </c>
    </row>
    <row r="68" spans="1:11" x14ac:dyDescent="0.35">
      <c r="A68" t="s">
        <v>336</v>
      </c>
      <c r="B68" t="s">
        <v>337</v>
      </c>
      <c r="C68">
        <v>7.7879999999999998E-3</v>
      </c>
      <c r="D68" t="s">
        <v>326</v>
      </c>
      <c r="E68">
        <f t="shared" ref="E68:E99" ca="1" si="21">D68 + (RAND()-0.5)/10</f>
        <v>4.2858536126967092E-2</v>
      </c>
      <c r="F68">
        <f t="shared" ref="F68:F99" ca="1" si="22">D68 + (RAND()-0.5)/5</f>
        <v>5.8659675487939461E-2</v>
      </c>
      <c r="G68">
        <f t="shared" ref="G68:G99" ca="1" si="23">AVERAGE(D68,E68,F68)</f>
        <v>5.0759105807453277E-2</v>
      </c>
      <c r="H68" t="str">
        <f t="shared" ref="H68:H99" si="24">IF(C68&lt;=0.05,"0-0.05",
IF(C68&lt;=0.5,"0.05-0.5",
IF(C68&lt;=5,"0.5-5",
IF(C68&lt;=50,"5-50","&gt;50"))))</f>
        <v>0-0.05</v>
      </c>
      <c r="I68">
        <f t="shared" ca="1" si="18"/>
        <v>0.13977403790429274</v>
      </c>
      <c r="J68">
        <f t="shared" ca="1" si="19"/>
        <v>0.14439004305057385</v>
      </c>
      <c r="K68">
        <f t="shared" si="20"/>
        <v>1.77E-2</v>
      </c>
    </row>
    <row r="69" spans="1:11" x14ac:dyDescent="0.35">
      <c r="A69" t="s">
        <v>429</v>
      </c>
      <c r="B69" t="s">
        <v>430</v>
      </c>
      <c r="C69">
        <v>4.8439999999999997E-2</v>
      </c>
      <c r="D69" t="s">
        <v>264</v>
      </c>
      <c r="E69">
        <f t="shared" ca="1" si="21"/>
        <v>1.3345594416628236E-2</v>
      </c>
      <c r="F69">
        <f t="shared" ca="1" si="22"/>
        <v>-5.2706111391840262E-2</v>
      </c>
      <c r="G69">
        <f t="shared" ca="1" si="23"/>
        <v>-1.9680258487606014E-2</v>
      </c>
      <c r="H69" t="str">
        <f t="shared" si="24"/>
        <v>0-0.05</v>
      </c>
      <c r="I69">
        <f t="shared" ca="1" si="18"/>
        <v>1.5069617868115133E-3</v>
      </c>
      <c r="J69">
        <f t="shared" ca="1" si="19"/>
        <v>1.6048489854934892E-3</v>
      </c>
      <c r="K69">
        <f t="shared" si="20"/>
        <v>2E-3</v>
      </c>
    </row>
    <row r="70" spans="1:11" x14ac:dyDescent="0.35">
      <c r="A70" t="s">
        <v>108</v>
      </c>
      <c r="B70" t="s">
        <v>109</v>
      </c>
      <c r="C70">
        <v>0.1111</v>
      </c>
      <c r="D70" t="s">
        <v>110</v>
      </c>
      <c r="E70">
        <f t="shared" ca="1" si="21"/>
        <v>-4.1420211557772046E-3</v>
      </c>
      <c r="F70">
        <f t="shared" ca="1" si="22"/>
        <v>-4.3112142672998711E-2</v>
      </c>
      <c r="G70">
        <f t="shared" ca="1" si="23"/>
        <v>-2.3627081914387959E-2</v>
      </c>
      <c r="H70" t="str">
        <f t="shared" si="24"/>
        <v>0.05-0.5</v>
      </c>
      <c r="I70">
        <f t="shared" ca="1" si="18"/>
        <v>7.3564717541645171E-3</v>
      </c>
      <c r="J70">
        <f t="shared" ca="1" si="19"/>
        <v>8.1367282621799542E-3</v>
      </c>
      <c r="K70">
        <f t="shared" si="20"/>
        <v>1.4199999999999999E-2</v>
      </c>
    </row>
    <row r="71" spans="1:11" x14ac:dyDescent="0.35">
      <c r="A71" t="s">
        <v>22</v>
      </c>
      <c r="B71" t="s">
        <v>22</v>
      </c>
      <c r="C71">
        <v>0.99980000000000002</v>
      </c>
      <c r="D71" t="s">
        <v>23</v>
      </c>
      <c r="E71">
        <f t="shared" ca="1" si="21"/>
        <v>-2.0523543975130409E-2</v>
      </c>
      <c r="F71">
        <f t="shared" ca="1" si="22"/>
        <v>4.5119287861265969E-2</v>
      </c>
      <c r="G71">
        <f t="shared" ca="1" si="23"/>
        <v>1.229787194306778E-2</v>
      </c>
      <c r="H71" t="str">
        <f t="shared" si="24"/>
        <v>0.5-5</v>
      </c>
      <c r="I71">
        <f t="shared" ca="1" si="18"/>
        <v>5.1135134072459745E-2</v>
      </c>
      <c r="J71">
        <f t="shared" ca="1" si="19"/>
        <v>4.9095204689588591E-2</v>
      </c>
      <c r="K71">
        <f t="shared" si="20"/>
        <v>1.1000000000000001E-3</v>
      </c>
    </row>
    <row r="72" spans="1:11" x14ac:dyDescent="0.35">
      <c r="A72" t="s">
        <v>356</v>
      </c>
      <c r="B72" t="s">
        <v>357</v>
      </c>
      <c r="C72">
        <v>2.2859999999999998E-3</v>
      </c>
      <c r="D72" t="s">
        <v>358</v>
      </c>
      <c r="E72">
        <f t="shared" ca="1" si="21"/>
        <v>4.6129886126047105E-2</v>
      </c>
      <c r="F72">
        <f t="shared" ca="1" si="22"/>
        <v>7.2608292140551256E-2</v>
      </c>
      <c r="G72">
        <f t="shared" ca="1" si="23"/>
        <v>5.9369089133299177E-2</v>
      </c>
      <c r="H72" t="str">
        <f t="shared" si="24"/>
        <v>0-0.05</v>
      </c>
      <c r="I72">
        <f t="shared" ca="1" si="18"/>
        <v>0.11610555944387256</v>
      </c>
      <c r="J72">
        <f t="shared" ca="1" si="19"/>
        <v>0.11064171965647132</v>
      </c>
      <c r="K72">
        <f t="shared" si="20"/>
        <v>7.0999999999999995E-3</v>
      </c>
    </row>
    <row r="73" spans="1:11" x14ac:dyDescent="0.35">
      <c r="A73" t="s">
        <v>180</v>
      </c>
      <c r="B73" t="s">
        <v>181</v>
      </c>
      <c r="C73">
        <v>0.53610000000000002</v>
      </c>
      <c r="D73" t="s">
        <v>182</v>
      </c>
      <c r="E73">
        <f t="shared" ca="1" si="21"/>
        <v>-3.327384366319789E-2</v>
      </c>
      <c r="F73">
        <f t="shared" ca="1" si="22"/>
        <v>1.8640073897365356E-2</v>
      </c>
      <c r="G73">
        <f t="shared" ca="1" si="23"/>
        <v>-7.3168848829162671E-3</v>
      </c>
      <c r="H73" t="str">
        <f t="shared" si="24"/>
        <v>0.5-5</v>
      </c>
      <c r="I73">
        <f t="shared" ca="1" si="18"/>
        <v>0.95663721032839466</v>
      </c>
      <c r="J73">
        <f t="shared" ca="1" si="19"/>
        <v>0.97969322305450368</v>
      </c>
      <c r="K73">
        <f t="shared" si="20"/>
        <v>2.9999999999999997E-4</v>
      </c>
    </row>
    <row r="74" spans="1:11" x14ac:dyDescent="0.35">
      <c r="A74" t="s">
        <v>274</v>
      </c>
      <c r="B74" t="s">
        <v>275</v>
      </c>
      <c r="C74">
        <v>6.8440000000000001E-2</v>
      </c>
      <c r="D74" t="s">
        <v>276</v>
      </c>
      <c r="E74">
        <f t="shared" ca="1" si="21"/>
        <v>6.0174466541282917E-2</v>
      </c>
      <c r="F74">
        <f t="shared" ca="1" si="22"/>
        <v>7.8272909541102414E-2</v>
      </c>
      <c r="G74">
        <f t="shared" ca="1" si="23"/>
        <v>6.9223688041192666E-2</v>
      </c>
      <c r="H74" t="str">
        <f t="shared" si="24"/>
        <v>0.05-0.5</v>
      </c>
      <c r="I74">
        <f t="shared" ca="1" si="18"/>
        <v>2.1312533352114429E-3</v>
      </c>
      <c r="J74">
        <f t="shared" ca="1" si="19"/>
        <v>2.3965527032982167E-3</v>
      </c>
      <c r="K74">
        <f t="shared" si="20"/>
        <v>3.4999999999999996E-3</v>
      </c>
    </row>
    <row r="75" spans="1:11" x14ac:dyDescent="0.35">
      <c r="A75" t="s">
        <v>381</v>
      </c>
      <c r="B75" t="s">
        <v>381</v>
      </c>
      <c r="C75">
        <v>5.3982000000000002E-2</v>
      </c>
      <c r="D75" t="s">
        <v>245</v>
      </c>
      <c r="E75">
        <f t="shared" ca="1" si="21"/>
        <v>-3.5857173763268781E-3</v>
      </c>
      <c r="F75">
        <f t="shared" ca="1" si="22"/>
        <v>2.1274552218609202E-2</v>
      </c>
      <c r="G75">
        <f t="shared" ca="1" si="23"/>
        <v>8.8444174211411621E-3</v>
      </c>
      <c r="H75" t="str">
        <f t="shared" si="24"/>
        <v>0.05-0.5</v>
      </c>
      <c r="I75">
        <f t="shared" ca="1" si="18"/>
        <v>0.52628991705466288</v>
      </c>
      <c r="J75">
        <f t="shared" ca="1" si="19"/>
        <v>0.51883632135639857</v>
      </c>
      <c r="K75">
        <f t="shared" si="20"/>
        <v>4.8999999999999998E-3</v>
      </c>
    </row>
    <row r="76" spans="1:11" x14ac:dyDescent="0.35">
      <c r="A76" t="s">
        <v>324</v>
      </c>
      <c r="B76" t="s">
        <v>325</v>
      </c>
      <c r="C76">
        <v>9.2256000000000005E-2</v>
      </c>
      <c r="D76" t="s">
        <v>326</v>
      </c>
      <c r="E76">
        <f t="shared" ca="1" si="21"/>
        <v>-7.2973057858847362E-4</v>
      </c>
      <c r="F76">
        <f t="shared" ca="1" si="22"/>
        <v>8.5575873028092164E-2</v>
      </c>
      <c r="G76">
        <f t="shared" ca="1" si="23"/>
        <v>4.2423071224751849E-2</v>
      </c>
      <c r="H76" t="str">
        <f t="shared" si="24"/>
        <v>0.05-0.5</v>
      </c>
      <c r="I76">
        <f t="shared" ca="1" si="18"/>
        <v>6.3471871911469149E-2</v>
      </c>
      <c r="J76">
        <f t="shared" ca="1" si="19"/>
        <v>7.2822026603309248E-2</v>
      </c>
      <c r="K76">
        <f t="shared" si="20"/>
        <v>2.5099999999999997E-2</v>
      </c>
    </row>
    <row r="77" spans="1:11" x14ac:dyDescent="0.35">
      <c r="A77" t="s">
        <v>503</v>
      </c>
      <c r="B77" t="s">
        <v>503</v>
      </c>
      <c r="C77">
        <v>1.2199999999999999E-3</v>
      </c>
      <c r="D77" t="s">
        <v>504</v>
      </c>
      <c r="E77">
        <f t="shared" ca="1" si="21"/>
        <v>1.5769047820952904E-2</v>
      </c>
      <c r="F77">
        <f t="shared" ca="1" si="22"/>
        <v>4.8539451083907059E-2</v>
      </c>
      <c r="G77">
        <f t="shared" ca="1" si="23"/>
        <v>3.2154249452429978E-2</v>
      </c>
      <c r="H77" t="str">
        <f t="shared" si="24"/>
        <v>0-0.05</v>
      </c>
      <c r="I77">
        <f t="shared" ca="1" si="18"/>
        <v>5.2857480765314192E-2</v>
      </c>
      <c r="J77">
        <f t="shared" ca="1" si="19"/>
        <v>5.3789127391255714E-2</v>
      </c>
      <c r="K77">
        <f t="shared" si="20"/>
        <v>1.04E-2</v>
      </c>
    </row>
    <row r="78" spans="1:11" x14ac:dyDescent="0.35">
      <c r="A78" t="s">
        <v>131</v>
      </c>
      <c r="B78" t="s">
        <v>132</v>
      </c>
      <c r="C78">
        <v>9.5740000000000006E-2</v>
      </c>
      <c r="D78" t="s">
        <v>133</v>
      </c>
      <c r="E78">
        <f t="shared" ca="1" si="21"/>
        <v>5.9492206702896226E-2</v>
      </c>
      <c r="F78">
        <f t="shared" ca="1" si="22"/>
        <v>-8.0576090788703009E-2</v>
      </c>
      <c r="G78">
        <f t="shared" ca="1" si="23"/>
        <v>-1.0541942042903391E-2</v>
      </c>
      <c r="H78" t="str">
        <f t="shared" si="24"/>
        <v>0.05-0.5</v>
      </c>
      <c r="I78">
        <f t="shared" ca="1" si="18"/>
        <v>8.4983465727422838E-2</v>
      </c>
      <c r="J78">
        <f t="shared" ca="1" si="19"/>
        <v>9.218872706685817E-2</v>
      </c>
      <c r="K78">
        <f t="shared" si="20"/>
        <v>1.4199999999999999E-2</v>
      </c>
    </row>
    <row r="79" spans="1:11" x14ac:dyDescent="0.35">
      <c r="A79" t="s">
        <v>251</v>
      </c>
      <c r="B79" t="s">
        <v>252</v>
      </c>
      <c r="C79">
        <v>1.3899999999999999E-2</v>
      </c>
      <c r="D79" t="s">
        <v>16</v>
      </c>
      <c r="E79">
        <f t="shared" ca="1" si="21"/>
        <v>-1.3299292125164326E-2</v>
      </c>
      <c r="F79">
        <f t="shared" ca="1" si="22"/>
        <v>8.6989198550412733E-2</v>
      </c>
      <c r="G79">
        <f t="shared" ca="1" si="23"/>
        <v>3.6844953212624203E-2</v>
      </c>
      <c r="H79" t="str">
        <f t="shared" si="24"/>
        <v>0-0.05</v>
      </c>
      <c r="I79">
        <f t="shared" ca="1" si="18"/>
        <v>1.1635232215047788E-3</v>
      </c>
      <c r="J79">
        <f t="shared" ca="1" si="19"/>
        <v>1.239546467522658E-3</v>
      </c>
      <c r="K79">
        <f t="shared" si="20"/>
        <v>7.9000000000000008E-3</v>
      </c>
    </row>
    <row r="80" spans="1:11" x14ac:dyDescent="0.35">
      <c r="A80" t="s">
        <v>312</v>
      </c>
      <c r="B80" t="s">
        <v>28</v>
      </c>
      <c r="C80">
        <v>9.443E-3</v>
      </c>
      <c r="D80" t="s">
        <v>313</v>
      </c>
      <c r="E80">
        <f t="shared" ca="1" si="21"/>
        <v>5.1464316866004917E-3</v>
      </c>
      <c r="F80">
        <f t="shared" ca="1" si="22"/>
        <v>5.0642028469956649E-2</v>
      </c>
      <c r="G80">
        <f t="shared" ca="1" si="23"/>
        <v>2.789423007827857E-2</v>
      </c>
      <c r="H80" t="str">
        <f t="shared" si="24"/>
        <v>0-0.05</v>
      </c>
      <c r="I80">
        <f t="shared" ca="1" si="18"/>
        <v>0.10413042236646639</v>
      </c>
      <c r="J80">
        <f t="shared" ca="1" si="19"/>
        <v>0.10179607301750025</v>
      </c>
      <c r="K80">
        <f t="shared" si="20"/>
        <v>1.09E-2</v>
      </c>
    </row>
    <row r="81" spans="1:11" x14ac:dyDescent="0.35">
      <c r="A81" t="s">
        <v>246</v>
      </c>
      <c r="B81" t="s">
        <v>247</v>
      </c>
      <c r="C81">
        <v>1.7489999999999999E-2</v>
      </c>
      <c r="D81" t="s">
        <v>16</v>
      </c>
      <c r="E81">
        <f t="shared" ca="1" si="21"/>
        <v>-4.1584020907297077E-2</v>
      </c>
      <c r="F81">
        <f t="shared" ca="1" si="22"/>
        <v>-2.4514943730638665E-2</v>
      </c>
      <c r="G81">
        <f t="shared" ca="1" si="23"/>
        <v>-3.3049482318967871E-2</v>
      </c>
      <c r="H81" t="str">
        <f t="shared" si="24"/>
        <v>0-0.05</v>
      </c>
      <c r="I81">
        <f t="shared" ca="1" si="18"/>
        <v>1.2787615570179321E-2</v>
      </c>
      <c r="J81">
        <f t="shared" ca="1" si="19"/>
        <v>1.3717566081436728E-2</v>
      </c>
      <c r="K81">
        <f t="shared" si="20"/>
        <v>5.5000000000000005E-3</v>
      </c>
    </row>
    <row r="82" spans="1:11" x14ac:dyDescent="0.35">
      <c r="A82" t="s">
        <v>102</v>
      </c>
      <c r="B82" t="s">
        <v>103</v>
      </c>
      <c r="C82">
        <v>0.15359999999999999</v>
      </c>
      <c r="D82" t="s">
        <v>104</v>
      </c>
      <c r="E82">
        <f t="shared" ca="1" si="21"/>
        <v>4.9697816523475859E-2</v>
      </c>
      <c r="F82">
        <f t="shared" ca="1" si="22"/>
        <v>3.6243928942180384E-2</v>
      </c>
      <c r="G82">
        <f t="shared" ca="1" si="23"/>
        <v>4.2970872732828125E-2</v>
      </c>
      <c r="H82" t="str">
        <f t="shared" si="24"/>
        <v>0.05-0.5</v>
      </c>
      <c r="I82">
        <f t="shared" ca="1" si="18"/>
        <v>8.9878376688887849E-3</v>
      </c>
      <c r="J82">
        <f t="shared" ca="1" si="19"/>
        <v>9.4918491532467002E-3</v>
      </c>
      <c r="K82">
        <f t="shared" si="20"/>
        <v>1.3899999999999999E-2</v>
      </c>
    </row>
    <row r="83" spans="1:11" x14ac:dyDescent="0.35">
      <c r="A83" t="s">
        <v>327</v>
      </c>
      <c r="B83" t="s">
        <v>328</v>
      </c>
      <c r="C83">
        <v>1.69</v>
      </c>
      <c r="D83" t="s">
        <v>67</v>
      </c>
      <c r="E83">
        <f t="shared" ca="1" si="21"/>
        <v>5.1349368663902523E-2</v>
      </c>
      <c r="F83">
        <f t="shared" ca="1" si="22"/>
        <v>2.3801896725483149E-2</v>
      </c>
      <c r="G83">
        <f t="shared" ca="1" si="23"/>
        <v>3.7575632694692836E-2</v>
      </c>
      <c r="H83" t="str">
        <f t="shared" si="24"/>
        <v>0.5-5</v>
      </c>
      <c r="I83">
        <f t="shared" ca="1" si="18"/>
        <v>1.7929541706039703E-2</v>
      </c>
      <c r="J83">
        <f t="shared" ca="1" si="19"/>
        <v>1.6791732254844798E-2</v>
      </c>
      <c r="K83">
        <f t="shared" si="20"/>
        <v>5.5000000000000005E-3</v>
      </c>
    </row>
    <row r="84" spans="1:11" x14ac:dyDescent="0.35">
      <c r="A84" t="s">
        <v>490</v>
      </c>
      <c r="B84" t="s">
        <v>491</v>
      </c>
      <c r="C84">
        <v>6.265E-4</v>
      </c>
      <c r="D84" t="s">
        <v>492</v>
      </c>
      <c r="E84">
        <f t="shared" ca="1" si="21"/>
        <v>-4.6084655174530892E-2</v>
      </c>
      <c r="F84">
        <f t="shared" ca="1" si="22"/>
        <v>-9.0557037816807434E-2</v>
      </c>
      <c r="G84">
        <f t="shared" ca="1" si="23"/>
        <v>-6.8320846495669163E-2</v>
      </c>
      <c r="H84" t="str">
        <f t="shared" si="24"/>
        <v>0-0.05</v>
      </c>
      <c r="I84">
        <f t="shared" ca="1" si="18"/>
        <v>0.14822764767056162</v>
      </c>
      <c r="J84">
        <f t="shared" ca="1" si="19"/>
        <v>0.16163279709416184</v>
      </c>
      <c r="K84">
        <f t="shared" si="20"/>
        <v>1.01E-2</v>
      </c>
    </row>
    <row r="85" spans="1:11" x14ac:dyDescent="0.35">
      <c r="A85" t="s">
        <v>329</v>
      </c>
      <c r="B85" t="s">
        <v>329</v>
      </c>
      <c r="C85">
        <v>3.4939999999999999E-2</v>
      </c>
      <c r="D85" t="s">
        <v>133</v>
      </c>
      <c r="E85">
        <f t="shared" ca="1" si="21"/>
        <v>1.2990543557567904E-2</v>
      </c>
      <c r="F85">
        <f t="shared" ca="1" si="22"/>
        <v>5.9408567975432369E-2</v>
      </c>
      <c r="G85">
        <f t="shared" ca="1" si="23"/>
        <v>3.6199555766500136E-2</v>
      </c>
      <c r="H85" t="str">
        <f t="shared" si="24"/>
        <v>0-0.05</v>
      </c>
      <c r="I85">
        <f t="shared" ca="1" si="18"/>
        <v>1.6507099717291769</v>
      </c>
      <c r="J85">
        <f t="shared" ca="1" si="19"/>
        <v>1.7814777581708579</v>
      </c>
      <c r="K85">
        <f t="shared" si="20"/>
        <v>4.5000000000000005E-3</v>
      </c>
    </row>
    <row r="86" spans="1:11" x14ac:dyDescent="0.35">
      <c r="A86" t="s">
        <v>354</v>
      </c>
      <c r="B86" t="s">
        <v>355</v>
      </c>
      <c r="C86">
        <v>2.954E-2</v>
      </c>
      <c r="D86" t="s">
        <v>293</v>
      </c>
      <c r="E86">
        <f t="shared" ca="1" si="21"/>
        <v>-9.5261770636395418E-3</v>
      </c>
      <c r="F86">
        <f t="shared" ca="1" si="22"/>
        <v>8.7992318472187844E-2</v>
      </c>
      <c r="G86">
        <f t="shared" ca="1" si="23"/>
        <v>3.9233070704274148E-2</v>
      </c>
      <c r="H86" t="str">
        <f t="shared" si="24"/>
        <v>0-0.05</v>
      </c>
      <c r="I86">
        <f t="shared" ca="1" si="18"/>
        <v>6.8888322418377424E-4</v>
      </c>
      <c r="J86">
        <f t="shared" ca="1" si="19"/>
        <v>5.98899904420712E-4</v>
      </c>
      <c r="K86">
        <f t="shared" si="20"/>
        <v>1.9E-3</v>
      </c>
    </row>
    <row r="87" spans="1:11" x14ac:dyDescent="0.35">
      <c r="A87" t="s">
        <v>362</v>
      </c>
      <c r="B87" t="s">
        <v>363</v>
      </c>
      <c r="C87">
        <v>0.53059999999999996</v>
      </c>
      <c r="D87" t="s">
        <v>70</v>
      </c>
      <c r="E87">
        <f t="shared" ca="1" si="21"/>
        <v>-3.7992134941460087E-2</v>
      </c>
      <c r="F87">
        <f t="shared" ca="1" si="22"/>
        <v>-6.8183179267934388E-3</v>
      </c>
      <c r="G87">
        <f t="shared" ca="1" si="23"/>
        <v>-2.2405226434126763E-2</v>
      </c>
      <c r="H87" t="str">
        <f t="shared" si="24"/>
        <v>0.5-5</v>
      </c>
      <c r="I87">
        <f t="shared" ca="1" si="18"/>
        <v>3.2980665869799024E-2</v>
      </c>
      <c r="J87">
        <f t="shared" ca="1" si="19"/>
        <v>3.5399863468317132E-2</v>
      </c>
      <c r="K87">
        <f t="shared" si="20"/>
        <v>1.09E-2</v>
      </c>
    </row>
    <row r="88" spans="1:11" x14ac:dyDescent="0.35">
      <c r="A88" t="s">
        <v>258</v>
      </c>
      <c r="B88" t="s">
        <v>259</v>
      </c>
      <c r="C88">
        <v>5.3610999999999999E-2</v>
      </c>
      <c r="D88" t="s">
        <v>145</v>
      </c>
      <c r="E88">
        <f t="shared" ca="1" si="21"/>
        <v>1.4864154027360854E-2</v>
      </c>
      <c r="F88">
        <f t="shared" ca="1" si="22"/>
        <v>2.4001404146776206E-2</v>
      </c>
      <c r="G88">
        <f t="shared" ca="1" si="23"/>
        <v>1.943277908706853E-2</v>
      </c>
      <c r="H88" t="str">
        <f t="shared" si="24"/>
        <v>0.05-0.5</v>
      </c>
      <c r="I88">
        <f t="shared" ca="1" si="18"/>
        <v>2.7150926985846296E-2</v>
      </c>
      <c r="J88">
        <f t="shared" ca="1" si="19"/>
        <v>2.926125213109539E-2</v>
      </c>
      <c r="K88">
        <f t="shared" si="20"/>
        <v>2.2000000000000001E-3</v>
      </c>
    </row>
    <row r="89" spans="1:11" x14ac:dyDescent="0.35">
      <c r="A89" t="s">
        <v>297</v>
      </c>
      <c r="B89" t="s">
        <v>298</v>
      </c>
      <c r="C89">
        <v>1.163E-2</v>
      </c>
      <c r="D89" t="s">
        <v>230</v>
      </c>
      <c r="E89">
        <f t="shared" ca="1" si="21"/>
        <v>3.2022622839207059E-2</v>
      </c>
      <c r="F89">
        <f t="shared" ca="1" si="22"/>
        <v>-4.2676400043746086E-2</v>
      </c>
      <c r="G89">
        <f t="shared" ca="1" si="23"/>
        <v>-5.3268886022695139E-3</v>
      </c>
      <c r="H89" t="str">
        <f t="shared" si="24"/>
        <v>0-0.05</v>
      </c>
      <c r="I89">
        <f t="shared" ca="1" si="18"/>
        <v>0.53424263614327305</v>
      </c>
      <c r="J89">
        <f t="shared" ca="1" si="19"/>
        <v>0.51117921045704684</v>
      </c>
      <c r="K89">
        <f t="shared" si="20"/>
        <v>5.9999999999999995E-4</v>
      </c>
    </row>
    <row r="90" spans="1:11" x14ac:dyDescent="0.35">
      <c r="A90" t="s">
        <v>374</v>
      </c>
      <c r="B90" t="s">
        <v>375</v>
      </c>
      <c r="C90">
        <v>5.1470000000000002E-2</v>
      </c>
      <c r="D90" t="s">
        <v>376</v>
      </c>
      <c r="E90">
        <f t="shared" ca="1" si="21"/>
        <v>8.783356739537021E-2</v>
      </c>
      <c r="F90">
        <f t="shared" ca="1" si="22"/>
        <v>6.3441840546533942E-2</v>
      </c>
      <c r="G90">
        <f t="shared" ca="1" si="23"/>
        <v>7.5637703970952069E-2</v>
      </c>
      <c r="H90" t="str">
        <f t="shared" si="24"/>
        <v>0.05-0.5</v>
      </c>
      <c r="I90">
        <f t="shared" ca="1" si="18"/>
        <v>5.235442039717713E-2</v>
      </c>
      <c r="J90">
        <f t="shared" ca="1" si="19"/>
        <v>5.441990586290063E-2</v>
      </c>
      <c r="K90">
        <f t="shared" si="20"/>
        <v>2.0000000000000001E-4</v>
      </c>
    </row>
    <row r="91" spans="1:11" x14ac:dyDescent="0.35">
      <c r="A91" t="s">
        <v>177</v>
      </c>
      <c r="B91" t="s">
        <v>178</v>
      </c>
      <c r="C91">
        <v>1.26</v>
      </c>
      <c r="D91" t="s">
        <v>179</v>
      </c>
      <c r="E91">
        <f t="shared" ca="1" si="21"/>
        <v>1.3361077021739807E-2</v>
      </c>
      <c r="F91">
        <f t="shared" ca="1" si="22"/>
        <v>1.7774573216845089E-2</v>
      </c>
      <c r="G91">
        <f t="shared" ca="1" si="23"/>
        <v>1.5567825119292448E-2</v>
      </c>
      <c r="H91" t="str">
        <f t="shared" si="24"/>
        <v>0.5-5</v>
      </c>
      <c r="I91">
        <f t="shared" ca="1" si="18"/>
        <v>1.2148452206266978E-2</v>
      </c>
      <c r="J91">
        <f t="shared" ca="1" si="19"/>
        <v>1.2014743602905623E-2</v>
      </c>
      <c r="K91">
        <f t="shared" si="20"/>
        <v>4.1999999999999997E-3</v>
      </c>
    </row>
    <row r="92" spans="1:11" x14ac:dyDescent="0.35">
      <c r="A92" t="s">
        <v>86</v>
      </c>
      <c r="B92" t="s">
        <v>87</v>
      </c>
      <c r="C92">
        <v>7.3550000000000004E-4</v>
      </c>
      <c r="D92" t="s">
        <v>47</v>
      </c>
      <c r="E92">
        <f t="shared" ca="1" si="21"/>
        <v>1.4093979129020611E-2</v>
      </c>
      <c r="F92">
        <f t="shared" ca="1" si="22"/>
        <v>1.6701709630867295E-2</v>
      </c>
      <c r="G92">
        <f t="shared" ca="1" si="23"/>
        <v>1.5397844379943952E-2</v>
      </c>
      <c r="H92" t="str">
        <f t="shared" si="24"/>
        <v>0-0.05</v>
      </c>
      <c r="I92">
        <f t="shared" ca="1" si="18"/>
        <v>4.8399449821861493E-2</v>
      </c>
      <c r="J92">
        <f t="shared" ca="1" si="19"/>
        <v>5.6426106201947032E-2</v>
      </c>
      <c r="K92">
        <f t="shared" si="20"/>
        <v>4.6399999999999997E-2</v>
      </c>
    </row>
    <row r="93" spans="1:11" x14ac:dyDescent="0.35">
      <c r="A93" t="s">
        <v>94</v>
      </c>
      <c r="B93" t="s">
        <v>95</v>
      </c>
      <c r="C93">
        <v>0.1043</v>
      </c>
      <c r="D93" t="s">
        <v>96</v>
      </c>
      <c r="E93">
        <f t="shared" ca="1" si="21"/>
        <v>-3.3091275145004269E-2</v>
      </c>
      <c r="F93">
        <f t="shared" ca="1" si="22"/>
        <v>-2.0167723707231938E-2</v>
      </c>
      <c r="G93">
        <f t="shared" ca="1" si="23"/>
        <v>-2.6629499426118104E-2</v>
      </c>
      <c r="H93" t="str">
        <f t="shared" si="24"/>
        <v>0.05-0.5</v>
      </c>
      <c r="I93">
        <f t="shared" ca="1" si="18"/>
        <v>1.2379951643098741</v>
      </c>
      <c r="J93">
        <f t="shared" ca="1" si="19"/>
        <v>1.277062936252884</v>
      </c>
      <c r="K93">
        <f t="shared" si="20"/>
        <v>3.0999999999999999E-3</v>
      </c>
    </row>
    <row r="94" spans="1:11" x14ac:dyDescent="0.35">
      <c r="A94" t="s">
        <v>294</v>
      </c>
      <c r="B94" t="s">
        <v>295</v>
      </c>
      <c r="C94">
        <v>2.198E-2</v>
      </c>
      <c r="D94" t="s">
        <v>296</v>
      </c>
      <c r="E94">
        <f t="shared" ca="1" si="21"/>
        <v>4.4288202441687494E-3</v>
      </c>
      <c r="F94">
        <f t="shared" ca="1" si="22"/>
        <v>0.10604809834168713</v>
      </c>
      <c r="G94">
        <f t="shared" ca="1" si="23"/>
        <v>5.5238459292927942E-2</v>
      </c>
      <c r="H94" t="str">
        <f t="shared" si="24"/>
        <v>0-0.05</v>
      </c>
      <c r="I94">
        <f t="shared" ca="1" si="18"/>
        <v>7.2341768783593097E-4</v>
      </c>
      <c r="J94">
        <f t="shared" ca="1" si="19"/>
        <v>7.4601431011673603E-4</v>
      </c>
      <c r="K94">
        <f t="shared" si="20"/>
        <v>6.6E-3</v>
      </c>
    </row>
    <row r="95" spans="1:11" x14ac:dyDescent="0.35">
      <c r="A95" t="s">
        <v>158</v>
      </c>
      <c r="B95" t="s">
        <v>159</v>
      </c>
      <c r="C95">
        <v>8.6260000000000003E-2</v>
      </c>
      <c r="D95" t="s">
        <v>160</v>
      </c>
      <c r="E95">
        <f t="shared" ca="1" si="21"/>
        <v>5.4326685749354023E-2</v>
      </c>
      <c r="F95">
        <f t="shared" ca="1" si="22"/>
        <v>3.3557230390462295E-2</v>
      </c>
      <c r="G95">
        <f t="shared" ca="1" si="23"/>
        <v>4.3941958069908159E-2</v>
      </c>
      <c r="H95" t="str">
        <f t="shared" si="24"/>
        <v>0.05-0.5</v>
      </c>
      <c r="I95">
        <f t="shared" ca="1" si="18"/>
        <v>0.10644678943892616</v>
      </c>
      <c r="J95">
        <f t="shared" ca="1" si="19"/>
        <v>0.10095913353383078</v>
      </c>
      <c r="K95">
        <f t="shared" si="20"/>
        <v>6.3E-3</v>
      </c>
    </row>
    <row r="96" spans="1:11" x14ac:dyDescent="0.35">
      <c r="A96" t="s">
        <v>291</v>
      </c>
      <c r="B96" t="s">
        <v>292</v>
      </c>
      <c r="C96">
        <v>0.42120000000000002</v>
      </c>
      <c r="D96" t="s">
        <v>293</v>
      </c>
      <c r="E96">
        <f t="shared" ca="1" si="21"/>
        <v>-2.8636166296082469E-2</v>
      </c>
      <c r="F96">
        <f t="shared" ca="1" si="22"/>
        <v>-2.430444439604125E-2</v>
      </c>
      <c r="G96">
        <f t="shared" ca="1" si="23"/>
        <v>-2.6470305346061859E-2</v>
      </c>
      <c r="H96" t="str">
        <f t="shared" si="24"/>
        <v>0.05-0.5</v>
      </c>
      <c r="I96">
        <f t="shared" ca="1" si="18"/>
        <v>1.9872553492885987E-2</v>
      </c>
      <c r="J96">
        <f t="shared" ca="1" si="19"/>
        <v>2.207777851242209E-2</v>
      </c>
      <c r="K96">
        <f t="shared" si="20"/>
        <v>1.41E-2</v>
      </c>
    </row>
    <row r="97" spans="1:11" x14ac:dyDescent="0.35">
      <c r="A97" t="s">
        <v>387</v>
      </c>
      <c r="B97" t="s">
        <v>388</v>
      </c>
      <c r="C97">
        <v>2.1639999999999999E-5</v>
      </c>
      <c r="D97" t="s">
        <v>18</v>
      </c>
      <c r="E97">
        <f t="shared" ca="1" si="21"/>
        <v>7.4341881020470674E-3</v>
      </c>
      <c r="F97">
        <f t="shared" ca="1" si="22"/>
        <v>-2.2745818593280686E-2</v>
      </c>
      <c r="G97">
        <f t="shared" ca="1" si="23"/>
        <v>-7.6558152456168097E-3</v>
      </c>
      <c r="H97" t="str">
        <f t="shared" si="24"/>
        <v>0-0.05</v>
      </c>
      <c r="I97">
        <f t="shared" ca="1" si="18"/>
        <v>8.34593358390152E-2</v>
      </c>
      <c r="J97">
        <f t="shared" ca="1" si="19"/>
        <v>9.1215432116060771E-2</v>
      </c>
      <c r="K97">
        <f t="shared" si="20"/>
        <v>9.1999999999999998E-3</v>
      </c>
    </row>
    <row r="98" spans="1:11" hidden="1" x14ac:dyDescent="0.35">
      <c r="A98" t="s">
        <v>267</v>
      </c>
      <c r="B98" t="s">
        <v>268</v>
      </c>
      <c r="C98">
        <v>108.17</v>
      </c>
      <c r="D98" t="s">
        <v>70</v>
      </c>
      <c r="E98">
        <f t="shared" ca="1" si="21"/>
        <v>-1.2182490867519803E-2</v>
      </c>
      <c r="F98">
        <f t="shared" ca="1" si="22"/>
        <v>-6.6864555688460406E-2</v>
      </c>
      <c r="G98">
        <f t="shared" ca="1" si="23"/>
        <v>-3.9523523277990108E-2</v>
      </c>
      <c r="H98" t="str">
        <f t="shared" si="24"/>
        <v>&gt;50</v>
      </c>
    </row>
    <row r="99" spans="1:11" x14ac:dyDescent="0.35">
      <c r="A99" t="s">
        <v>207</v>
      </c>
      <c r="B99" t="s">
        <v>208</v>
      </c>
      <c r="C99">
        <v>0.12790000000000001</v>
      </c>
      <c r="D99" t="s">
        <v>11</v>
      </c>
      <c r="E99">
        <f t="shared" ca="1" si="21"/>
        <v>3.8173835482468138E-2</v>
      </c>
      <c r="F99">
        <f t="shared" ca="1" si="22"/>
        <v>0.10659994394843321</v>
      </c>
      <c r="G99">
        <f t="shared" ca="1" si="23"/>
        <v>7.2386889715450681E-2</v>
      </c>
      <c r="H99" t="str">
        <f t="shared" si="24"/>
        <v>0.05-0.5</v>
      </c>
      <c r="I99">
        <f t="shared" ref="I99:I110" ca="1" si="25">C97/(1+F97)</f>
        <v>2.2143676038152187E-5</v>
      </c>
      <c r="J99">
        <f t="shared" ref="J99:J110" ca="1" si="26">C97/(1-E97)</f>
        <v>2.1802080769456162E-5</v>
      </c>
      <c r="K99">
        <f t="shared" ref="K99:K110" si="27">VALUE(SUBSTITUTE(D97,"%",""))/100</f>
        <v>1E-3</v>
      </c>
    </row>
    <row r="100" spans="1:11" x14ac:dyDescent="0.35">
      <c r="A100" t="s">
        <v>284</v>
      </c>
      <c r="B100" t="s">
        <v>285</v>
      </c>
      <c r="C100">
        <v>7.8300000000000002E-3</v>
      </c>
      <c r="D100" t="s">
        <v>286</v>
      </c>
      <c r="E100">
        <f t="shared" ref="E100:E131" ca="1" si="28">D100 + (RAND()-0.5)/10</f>
        <v>-3.1385779927512326E-2</v>
      </c>
      <c r="F100">
        <f t="shared" ref="F100:F131" ca="1" si="29">D100 + (RAND()-0.5)/5</f>
        <v>7.6899948483835107E-2</v>
      </c>
      <c r="G100">
        <f t="shared" ref="G100:G131" ca="1" si="30">AVERAGE(D100,E100,F100)</f>
        <v>2.275708427816139E-2</v>
      </c>
      <c r="H100" t="str">
        <f t="shared" ref="H100:H131" si="31">IF(C100&lt;=0.05,"0-0.05",
IF(C100&lt;=0.5,"0.05-0.5",
IF(C100&lt;=5,"0.5-5",
IF(C100&lt;=50,"5-50","&gt;50"))))</f>
        <v>0-0.05</v>
      </c>
      <c r="I100">
        <f t="shared" ca="1" si="25"/>
        <v>115.92100660135895</v>
      </c>
      <c r="J100">
        <f t="shared" ca="1" si="26"/>
        <v>106.86808058425297</v>
      </c>
      <c r="K100">
        <f t="shared" si="27"/>
        <v>5.9999999999999995E-4</v>
      </c>
    </row>
    <row r="101" spans="1:11" x14ac:dyDescent="0.35">
      <c r="A101" t="s">
        <v>304</v>
      </c>
      <c r="B101" t="s">
        <v>305</v>
      </c>
      <c r="C101">
        <v>0.1065</v>
      </c>
      <c r="D101" t="s">
        <v>80</v>
      </c>
      <c r="E101">
        <f t="shared" ca="1" si="28"/>
        <v>-2.4410958416139338E-2</v>
      </c>
      <c r="F101">
        <f t="shared" ca="1" si="29"/>
        <v>-8.7652000726884685E-2</v>
      </c>
      <c r="G101">
        <f t="shared" ca="1" si="30"/>
        <v>-5.6031479571512013E-2</v>
      </c>
      <c r="H101" t="str">
        <f t="shared" si="31"/>
        <v>0.05-0.5</v>
      </c>
      <c r="I101">
        <f t="shared" ca="1" si="25"/>
        <v>0.11557925761648155</v>
      </c>
      <c r="J101">
        <f t="shared" ca="1" si="26"/>
        <v>0.13297621204155619</v>
      </c>
      <c r="K101">
        <f t="shared" si="27"/>
        <v>7.6E-3</v>
      </c>
    </row>
    <row r="102" spans="1:11" x14ac:dyDescent="0.35">
      <c r="A102" t="s">
        <v>68</v>
      </c>
      <c r="B102" t="s">
        <v>69</v>
      </c>
      <c r="C102">
        <v>3.26</v>
      </c>
      <c r="D102" t="s">
        <v>70</v>
      </c>
      <c r="E102">
        <f t="shared" ca="1" si="28"/>
        <v>-4.2485161401437051E-2</v>
      </c>
      <c r="F102">
        <f t="shared" ca="1" si="29"/>
        <v>4.5662543873907495E-2</v>
      </c>
      <c r="G102">
        <f t="shared" ca="1" si="30"/>
        <v>1.5886912362352221E-3</v>
      </c>
      <c r="H102" t="str">
        <f t="shared" si="31"/>
        <v>0.5-5</v>
      </c>
      <c r="I102">
        <f t="shared" ca="1" si="25"/>
        <v>7.2708704378933609E-3</v>
      </c>
      <c r="J102">
        <f t="shared" ca="1" si="26"/>
        <v>7.5917277049818415E-3</v>
      </c>
      <c r="K102">
        <f t="shared" si="27"/>
        <v>5.1000000000000004E-3</v>
      </c>
    </row>
    <row r="103" spans="1:11" x14ac:dyDescent="0.35">
      <c r="A103" t="s">
        <v>119</v>
      </c>
      <c r="B103" t="s">
        <v>120</v>
      </c>
      <c r="C103">
        <v>0.73740000000000006</v>
      </c>
      <c r="D103" t="s">
        <v>121</v>
      </c>
      <c r="E103">
        <f t="shared" ca="1" si="28"/>
        <v>4.0682241876268885E-2</v>
      </c>
      <c r="F103">
        <f t="shared" ca="1" si="29"/>
        <v>3.6195989697735811E-2</v>
      </c>
      <c r="G103">
        <f t="shared" ca="1" si="30"/>
        <v>3.8439115787002348E-2</v>
      </c>
      <c r="H103" t="str">
        <f t="shared" si="31"/>
        <v>0.5-5</v>
      </c>
      <c r="I103">
        <f t="shared" ca="1" si="25"/>
        <v>0.11673177349525679</v>
      </c>
      <c r="J103">
        <f t="shared" ca="1" si="26"/>
        <v>0.10396218346264238</v>
      </c>
      <c r="K103">
        <f t="shared" si="27"/>
        <v>0</v>
      </c>
    </row>
    <row r="104" spans="1:11" x14ac:dyDescent="0.35">
      <c r="A104" t="s">
        <v>302</v>
      </c>
      <c r="B104" t="s">
        <v>303</v>
      </c>
      <c r="C104">
        <v>1.392E-4</v>
      </c>
      <c r="D104" t="s">
        <v>185</v>
      </c>
      <c r="E104">
        <f t="shared" ca="1" si="28"/>
        <v>-8.8921850254704803E-3</v>
      </c>
      <c r="F104">
        <f t="shared" ca="1" si="29"/>
        <v>1.4951331230693952E-2</v>
      </c>
      <c r="G104">
        <f t="shared" ca="1" si="30"/>
        <v>3.0295731026117358E-3</v>
      </c>
      <c r="H104" t="str">
        <f t="shared" si="31"/>
        <v>0-0.05</v>
      </c>
      <c r="I104">
        <f t="shared" ca="1" si="25"/>
        <v>3.1176405993491438</v>
      </c>
      <c r="J104">
        <f t="shared" ca="1" si="26"/>
        <v>3.1271428320548047</v>
      </c>
      <c r="K104">
        <f t="shared" si="27"/>
        <v>5.9999999999999995E-4</v>
      </c>
    </row>
    <row r="105" spans="1:11" x14ac:dyDescent="0.35">
      <c r="A105" t="s">
        <v>155</v>
      </c>
      <c r="B105" t="s">
        <v>156</v>
      </c>
      <c r="C105">
        <v>1.253E-3</v>
      </c>
      <c r="D105" t="s">
        <v>157</v>
      </c>
      <c r="E105">
        <f t="shared" ca="1" si="28"/>
        <v>-2.9883543192429696E-2</v>
      </c>
      <c r="F105">
        <f t="shared" ca="1" si="29"/>
        <v>-1.3470719534772328E-2</v>
      </c>
      <c r="G105">
        <f t="shared" ca="1" si="30"/>
        <v>-2.1677131363601013E-2</v>
      </c>
      <c r="H105" t="str">
        <f t="shared" si="31"/>
        <v>0-0.05</v>
      </c>
      <c r="I105">
        <f t="shared" ca="1" si="25"/>
        <v>0.71164143398692736</v>
      </c>
      <c r="J105">
        <f t="shared" ca="1" si="26"/>
        <v>0.76867127055193274</v>
      </c>
      <c r="K105">
        <f t="shared" si="27"/>
        <v>6.8999999999999999E-3</v>
      </c>
    </row>
    <row r="106" spans="1:11" x14ac:dyDescent="0.35">
      <c r="A106" t="s">
        <v>384</v>
      </c>
      <c r="B106" t="s">
        <v>385</v>
      </c>
      <c r="C106">
        <v>3.3210000000000003E-2</v>
      </c>
      <c r="D106" t="s">
        <v>386</v>
      </c>
      <c r="E106">
        <f t="shared" ca="1" si="28"/>
        <v>-1.7297016268838769E-2</v>
      </c>
      <c r="F106">
        <f t="shared" ca="1" si="29"/>
        <v>8.9512541630728443E-2</v>
      </c>
      <c r="G106">
        <f t="shared" ca="1" si="30"/>
        <v>3.6107762680944837E-2</v>
      </c>
      <c r="H106" t="str">
        <f t="shared" si="31"/>
        <v>0-0.05</v>
      </c>
      <c r="I106">
        <f t="shared" ca="1" si="25"/>
        <v>1.3714943339323573E-4</v>
      </c>
      <c r="J106">
        <f t="shared" ca="1" si="26"/>
        <v>1.3797311751055516E-4</v>
      </c>
      <c r="K106">
        <f t="shared" si="27"/>
        <v>2.5000000000000001E-3</v>
      </c>
    </row>
    <row r="107" spans="1:11" x14ac:dyDescent="0.35">
      <c r="A107" t="s">
        <v>161</v>
      </c>
      <c r="B107" t="s">
        <v>162</v>
      </c>
      <c r="C107">
        <v>1.1499999999999999</v>
      </c>
      <c r="D107" t="s">
        <v>163</v>
      </c>
      <c r="E107">
        <f t="shared" ca="1" si="28"/>
        <v>5.0321587687113353E-2</v>
      </c>
      <c r="F107">
        <f t="shared" ca="1" si="29"/>
        <v>-4.6320537420368117E-2</v>
      </c>
      <c r="G107">
        <f t="shared" ca="1" si="30"/>
        <v>2.000525133372618E-3</v>
      </c>
      <c r="H107" t="str">
        <f t="shared" si="31"/>
        <v>0.5-5</v>
      </c>
      <c r="I107">
        <f t="shared" ca="1" si="25"/>
        <v>1.2701092859698092E-3</v>
      </c>
      <c r="J107">
        <f t="shared" ca="1" si="26"/>
        <v>1.2166424138752182E-3</v>
      </c>
      <c r="K107">
        <f t="shared" si="27"/>
        <v>1.5300000000000001E-2</v>
      </c>
    </row>
    <row r="108" spans="1:11" x14ac:dyDescent="0.35">
      <c r="A108" t="s">
        <v>415</v>
      </c>
      <c r="B108" t="s">
        <v>416</v>
      </c>
      <c r="C108">
        <v>6.9080000000000001E-3</v>
      </c>
      <c r="D108" t="s">
        <v>308</v>
      </c>
      <c r="E108">
        <f t="shared" ca="1" si="28"/>
        <v>-1.7285785712106094E-2</v>
      </c>
      <c r="F108">
        <f t="shared" ca="1" si="29"/>
        <v>6.6545274455052969E-2</v>
      </c>
      <c r="G108">
        <f t="shared" ca="1" si="30"/>
        <v>2.4629744371473437E-2</v>
      </c>
      <c r="H108" t="str">
        <f t="shared" si="31"/>
        <v>0-0.05</v>
      </c>
      <c r="I108">
        <f t="shared" ca="1" si="25"/>
        <v>3.0481521534660737E-2</v>
      </c>
      <c r="J108">
        <f t="shared" ca="1" si="26"/>
        <v>3.2645333141548966E-2</v>
      </c>
      <c r="K108">
        <f t="shared" si="27"/>
        <v>9.0000000000000011E-3</v>
      </c>
    </row>
    <row r="109" spans="1:11" x14ac:dyDescent="0.35">
      <c r="A109" t="s">
        <v>128</v>
      </c>
      <c r="B109" t="s">
        <v>129</v>
      </c>
      <c r="C109">
        <v>1.5440000000000001E-2</v>
      </c>
      <c r="D109" t="s">
        <v>130</v>
      </c>
      <c r="E109">
        <f t="shared" ca="1" si="28"/>
        <v>3.6557500120838061E-2</v>
      </c>
      <c r="F109">
        <f t="shared" ca="1" si="29"/>
        <v>-7.4595313002377095E-2</v>
      </c>
      <c r="G109">
        <f t="shared" ca="1" si="30"/>
        <v>-1.9018906440769517E-2</v>
      </c>
      <c r="H109" t="str">
        <f t="shared" si="31"/>
        <v>0-0.05</v>
      </c>
      <c r="I109">
        <f t="shared" ca="1" si="25"/>
        <v>1.2058558930160199</v>
      </c>
      <c r="J109">
        <f t="shared" ca="1" si="26"/>
        <v>1.2109362338765199</v>
      </c>
      <c r="K109">
        <f t="shared" si="27"/>
        <v>7.000000000000001E-4</v>
      </c>
    </row>
    <row r="110" spans="1:11" x14ac:dyDescent="0.35">
      <c r="A110" t="s">
        <v>57</v>
      </c>
      <c r="B110" t="s">
        <v>58</v>
      </c>
      <c r="C110">
        <v>0.2505</v>
      </c>
      <c r="D110" t="s">
        <v>59</v>
      </c>
      <c r="E110">
        <f t="shared" ca="1" si="28"/>
        <v>-2.0194457244846534E-2</v>
      </c>
      <c r="F110">
        <f t="shared" ca="1" si="29"/>
        <v>-7.1775227805287223E-2</v>
      </c>
      <c r="G110">
        <f t="shared" ca="1" si="30"/>
        <v>-4.5984842525066877E-2</v>
      </c>
      <c r="H110" t="str">
        <f t="shared" si="31"/>
        <v>0.05-0.5</v>
      </c>
      <c r="I110">
        <f t="shared" ca="1" si="25"/>
        <v>6.4769871148035556E-3</v>
      </c>
      <c r="J110">
        <f t="shared" ca="1" si="26"/>
        <v>6.7906188182550488E-3</v>
      </c>
      <c r="K110">
        <f t="shared" si="27"/>
        <v>1.1999999999999999E-3</v>
      </c>
    </row>
    <row r="111" spans="1:11" hidden="1" x14ac:dyDescent="0.35">
      <c r="A111" t="s">
        <v>299</v>
      </c>
      <c r="B111" t="s">
        <v>300</v>
      </c>
      <c r="C111">
        <v>146.91999999999999</v>
      </c>
      <c r="D111" t="s">
        <v>301</v>
      </c>
      <c r="E111">
        <f t="shared" ca="1" si="28"/>
        <v>5.953853394209117E-3</v>
      </c>
      <c r="F111">
        <f t="shared" ca="1" si="29"/>
        <v>-7.1961995440078128E-2</v>
      </c>
      <c r="G111">
        <f t="shared" ca="1" si="30"/>
        <v>-3.3004071022934504E-2</v>
      </c>
      <c r="H111" t="str">
        <f t="shared" si="31"/>
        <v>&gt;50</v>
      </c>
    </row>
    <row r="112" spans="1:11" x14ac:dyDescent="0.35">
      <c r="A112" t="s">
        <v>260</v>
      </c>
      <c r="B112" t="s">
        <v>261</v>
      </c>
      <c r="C112">
        <v>7.1993000000000001E-2</v>
      </c>
      <c r="D112" t="s">
        <v>23</v>
      </c>
      <c r="E112">
        <f t="shared" ca="1" si="28"/>
        <v>3.7803340004324018E-2</v>
      </c>
      <c r="F112">
        <f t="shared" ca="1" si="29"/>
        <v>3.6515113296888405E-2</v>
      </c>
      <c r="G112">
        <f t="shared" ca="1" si="30"/>
        <v>3.7159226650606211E-2</v>
      </c>
      <c r="H112" t="str">
        <f t="shared" si="31"/>
        <v>0.05-0.5</v>
      </c>
      <c r="I112">
        <f t="shared" ref="I112:I143" ca="1" si="32">C110/(1+F110)</f>
        <v>0.26986997923758588</v>
      </c>
      <c r="J112">
        <f t="shared" ref="J112:J143" ca="1" si="33">C110/(1-E110)</f>
        <v>0.24554142420701278</v>
      </c>
      <c r="K112">
        <f t="shared" ref="K112:K143" si="34">VALUE(SUBSTITUTE(D110,"%",""))/100</f>
        <v>1.37E-2</v>
      </c>
    </row>
    <row r="113" spans="1:11" x14ac:dyDescent="0.35">
      <c r="A113" t="s">
        <v>212</v>
      </c>
      <c r="B113" t="s">
        <v>213</v>
      </c>
      <c r="C113">
        <v>3.9259999999999998E-3</v>
      </c>
      <c r="D113" t="s">
        <v>29</v>
      </c>
      <c r="E113">
        <f t="shared" ca="1" si="28"/>
        <v>-4.0325155001817201E-2</v>
      </c>
      <c r="F113">
        <f t="shared" ca="1" si="29"/>
        <v>1.5318087453125299E-2</v>
      </c>
      <c r="G113">
        <f t="shared" ca="1" si="30"/>
        <v>-1.2503533774345951E-2</v>
      </c>
      <c r="H113" t="str">
        <f t="shared" si="31"/>
        <v>0-0.05</v>
      </c>
      <c r="I113">
        <f t="shared" ca="1" si="32"/>
        <v>158.31248211614979</v>
      </c>
      <c r="J113">
        <f t="shared" ca="1" si="33"/>
        <v>147.7999794090687</v>
      </c>
      <c r="K113">
        <f t="shared" si="34"/>
        <v>1.6000000000000001E-3</v>
      </c>
    </row>
    <row r="114" spans="1:11" x14ac:dyDescent="0.35">
      <c r="A114" t="s">
        <v>117</v>
      </c>
      <c r="B114" t="s">
        <v>118</v>
      </c>
      <c r="C114">
        <v>7.1980000000000002E-2</v>
      </c>
      <c r="D114" t="s">
        <v>90</v>
      </c>
      <c r="E114">
        <f t="shared" ca="1" si="28"/>
        <v>-2.3450777686836045E-2</v>
      </c>
      <c r="F114">
        <f t="shared" ca="1" si="29"/>
        <v>3.9639534634075137E-2</v>
      </c>
      <c r="G114">
        <f t="shared" ca="1" si="30"/>
        <v>8.0943784736195457E-3</v>
      </c>
      <c r="H114" t="str">
        <f t="shared" si="31"/>
        <v>0.05-0.5</v>
      </c>
      <c r="I114">
        <f t="shared" ca="1" si="32"/>
        <v>6.9456777886246879E-2</v>
      </c>
      <c r="J114">
        <f t="shared" ca="1" si="33"/>
        <v>7.4821502706446247E-2</v>
      </c>
      <c r="K114">
        <f t="shared" si="34"/>
        <v>2.9999999999999997E-4</v>
      </c>
    </row>
    <row r="115" spans="1:11" x14ac:dyDescent="0.35">
      <c r="A115" t="s">
        <v>105</v>
      </c>
      <c r="B115" t="s">
        <v>106</v>
      </c>
      <c r="C115">
        <v>0.16800000000000001</v>
      </c>
      <c r="D115" t="s">
        <v>107</v>
      </c>
      <c r="E115">
        <f t="shared" ca="1" si="28"/>
        <v>-4.0618364560614309E-2</v>
      </c>
      <c r="F115">
        <f t="shared" ca="1" si="29"/>
        <v>-6.2959592015499874E-2</v>
      </c>
      <c r="G115">
        <f t="shared" ca="1" si="30"/>
        <v>-5.1788978288057091E-2</v>
      </c>
      <c r="H115" t="str">
        <f t="shared" si="31"/>
        <v>0.05-0.5</v>
      </c>
      <c r="I115">
        <f t="shared" ca="1" si="32"/>
        <v>3.8667685019264991E-3</v>
      </c>
      <c r="J115">
        <f t="shared" ca="1" si="33"/>
        <v>3.7738201187619484E-3</v>
      </c>
      <c r="K115">
        <f t="shared" si="34"/>
        <v>9.3999999999999986E-3</v>
      </c>
    </row>
    <row r="116" spans="1:11" x14ac:dyDescent="0.35">
      <c r="A116" t="s">
        <v>406</v>
      </c>
      <c r="B116" t="s">
        <v>407</v>
      </c>
      <c r="C116">
        <v>1.286E-2</v>
      </c>
      <c r="D116" t="s">
        <v>145</v>
      </c>
      <c r="E116">
        <f t="shared" ca="1" si="28"/>
        <v>1.184406765327274E-2</v>
      </c>
      <c r="F116">
        <f t="shared" ca="1" si="29"/>
        <v>4.1881847934132278E-2</v>
      </c>
      <c r="G116">
        <f t="shared" ca="1" si="30"/>
        <v>2.686295779370251E-2</v>
      </c>
      <c r="H116" t="str">
        <f t="shared" si="31"/>
        <v>0-0.05</v>
      </c>
      <c r="I116">
        <f t="shared" ca="1" si="32"/>
        <v>6.9235535589106847E-2</v>
      </c>
      <c r="J116">
        <f t="shared" ca="1" si="33"/>
        <v>7.0330690609944554E-2</v>
      </c>
      <c r="K116">
        <f t="shared" si="34"/>
        <v>1.1399999999999999E-2</v>
      </c>
    </row>
    <row r="117" spans="1:11" x14ac:dyDescent="0.35">
      <c r="A117" t="s">
        <v>167</v>
      </c>
      <c r="B117" t="s">
        <v>168</v>
      </c>
      <c r="C117">
        <v>2.875E-3</v>
      </c>
      <c r="D117" t="s">
        <v>67</v>
      </c>
      <c r="E117">
        <f t="shared" ca="1" si="28"/>
        <v>-3.2914680286518415E-2</v>
      </c>
      <c r="F117">
        <f t="shared" ca="1" si="29"/>
        <v>-4.3301673299173268E-2</v>
      </c>
      <c r="G117">
        <f t="shared" ca="1" si="30"/>
        <v>-3.8108176792845838E-2</v>
      </c>
      <c r="H117" t="str">
        <f t="shared" si="31"/>
        <v>0-0.05</v>
      </c>
      <c r="I117">
        <f t="shared" ca="1" si="32"/>
        <v>0.17928789256949412</v>
      </c>
      <c r="J117">
        <f t="shared" ca="1" si="33"/>
        <v>0.16144247086292343</v>
      </c>
      <c r="K117">
        <f t="shared" si="34"/>
        <v>2.8999999999999998E-3</v>
      </c>
    </row>
    <row r="118" spans="1:11" x14ac:dyDescent="0.35">
      <c r="A118" t="s">
        <v>36</v>
      </c>
      <c r="B118" t="s">
        <v>37</v>
      </c>
      <c r="C118">
        <v>0.42049999999999998</v>
      </c>
      <c r="D118" t="s">
        <v>38</v>
      </c>
      <c r="E118">
        <f t="shared" ca="1" si="28"/>
        <v>4.3592731240500511E-2</v>
      </c>
      <c r="F118">
        <f t="shared" ca="1" si="29"/>
        <v>9.6935675704372476E-2</v>
      </c>
      <c r="G118">
        <f t="shared" ca="1" si="30"/>
        <v>7.026420347243649E-2</v>
      </c>
      <c r="H118" t="str">
        <f t="shared" si="31"/>
        <v>0.05-0.5</v>
      </c>
      <c r="I118">
        <f t="shared" ca="1" si="32"/>
        <v>1.2343050246531416E-2</v>
      </c>
      <c r="J118">
        <f t="shared" ca="1" si="33"/>
        <v>1.3014140358859519E-2</v>
      </c>
      <c r="K118">
        <f t="shared" si="34"/>
        <v>2.0000000000000001E-4</v>
      </c>
    </row>
    <row r="119" spans="1:11" x14ac:dyDescent="0.35">
      <c r="A119" t="s">
        <v>343</v>
      </c>
      <c r="B119" t="s">
        <v>344</v>
      </c>
      <c r="C119">
        <v>0.33090000000000003</v>
      </c>
      <c r="D119" t="s">
        <v>203</v>
      </c>
      <c r="E119">
        <f t="shared" ca="1" si="28"/>
        <v>-3.6034202795264779E-2</v>
      </c>
      <c r="F119">
        <f t="shared" ca="1" si="29"/>
        <v>1.390983998938625E-2</v>
      </c>
      <c r="G119">
        <f t="shared" ca="1" si="30"/>
        <v>-1.1062181402939264E-2</v>
      </c>
      <c r="H119" t="str">
        <f t="shared" si="31"/>
        <v>0.05-0.5</v>
      </c>
      <c r="I119">
        <f t="shared" ca="1" si="32"/>
        <v>3.0051270288246816E-3</v>
      </c>
      <c r="J119">
        <f t="shared" ca="1" si="33"/>
        <v>2.7833857479908301E-3</v>
      </c>
      <c r="K119">
        <f t="shared" si="34"/>
        <v>4.5000000000000005E-3</v>
      </c>
    </row>
    <row r="120" spans="1:11" x14ac:dyDescent="0.35">
      <c r="A120" t="s">
        <v>458</v>
      </c>
      <c r="B120" t="s">
        <v>459</v>
      </c>
      <c r="C120">
        <v>2.4190000000000001E-3</v>
      </c>
      <c r="D120" t="s">
        <v>422</v>
      </c>
      <c r="E120">
        <f t="shared" ca="1" si="28"/>
        <v>3.88383872620933E-2</v>
      </c>
      <c r="F120">
        <f t="shared" ca="1" si="29"/>
        <v>-2.667468675792728E-2</v>
      </c>
      <c r="G120">
        <f t="shared" ca="1" si="30"/>
        <v>6.0818502520830105E-3</v>
      </c>
      <c r="H120" t="str">
        <f t="shared" si="31"/>
        <v>0-0.05</v>
      </c>
      <c r="I120">
        <f t="shared" ca="1" si="32"/>
        <v>0.38334061815428278</v>
      </c>
      <c r="J120">
        <f t="shared" ca="1" si="33"/>
        <v>0.43966625279354704</v>
      </c>
      <c r="K120">
        <f t="shared" si="34"/>
        <v>1.5700000000000002E-2</v>
      </c>
    </row>
    <row r="121" spans="1:11" x14ac:dyDescent="0.35">
      <c r="A121" t="s">
        <v>306</v>
      </c>
      <c r="B121" t="s">
        <v>307</v>
      </c>
      <c r="C121">
        <v>1.8810000000000001E-3</v>
      </c>
      <c r="D121" t="s">
        <v>308</v>
      </c>
      <c r="E121">
        <f t="shared" ca="1" si="28"/>
        <v>1.3353844195340647E-2</v>
      </c>
      <c r="F121">
        <f t="shared" ca="1" si="29"/>
        <v>-1.8363038061846849E-2</v>
      </c>
      <c r="G121">
        <f t="shared" ca="1" si="30"/>
        <v>-2.5045969332531011E-3</v>
      </c>
      <c r="H121" t="str">
        <f t="shared" si="31"/>
        <v>0-0.05</v>
      </c>
      <c r="I121">
        <f t="shared" ca="1" si="32"/>
        <v>0.32636037934444345</v>
      </c>
      <c r="J121">
        <f t="shared" ca="1" si="33"/>
        <v>0.31939099993727776</v>
      </c>
      <c r="K121">
        <f t="shared" si="34"/>
        <v>1.5E-3</v>
      </c>
    </row>
    <row r="122" spans="1:11" x14ac:dyDescent="0.35">
      <c r="A122" t="s">
        <v>389</v>
      </c>
      <c r="B122" t="s">
        <v>390</v>
      </c>
      <c r="C122">
        <v>8.2830000000000001E-2</v>
      </c>
      <c r="D122" t="s">
        <v>391</v>
      </c>
      <c r="E122">
        <f t="shared" ca="1" si="28"/>
        <v>-1.6585571139671344E-2</v>
      </c>
      <c r="F122">
        <f t="shared" ca="1" si="29"/>
        <v>-7.341423097408098E-2</v>
      </c>
      <c r="G122">
        <f t="shared" ca="1" si="30"/>
        <v>-4.4999901056876165E-2</v>
      </c>
      <c r="H122" t="str">
        <f t="shared" si="31"/>
        <v>0.05-0.5</v>
      </c>
      <c r="I122">
        <f t="shared" ca="1" si="32"/>
        <v>2.4852944509811369E-3</v>
      </c>
      <c r="J122">
        <f t="shared" ca="1" si="33"/>
        <v>2.5167463701649337E-3</v>
      </c>
      <c r="K122">
        <f t="shared" si="34"/>
        <v>9.7000000000000003E-3</v>
      </c>
    </row>
    <row r="123" spans="1:11" x14ac:dyDescent="0.35">
      <c r="A123" t="s">
        <v>223</v>
      </c>
      <c r="B123" t="s">
        <v>224</v>
      </c>
      <c r="C123">
        <v>0.18410000000000001</v>
      </c>
      <c r="D123" t="s">
        <v>154</v>
      </c>
      <c r="E123">
        <f t="shared" ca="1" si="28"/>
        <v>4.0702842445056557E-2</v>
      </c>
      <c r="F123">
        <f t="shared" ca="1" si="29"/>
        <v>-6.6126953977636113E-2</v>
      </c>
      <c r="G123">
        <f t="shared" ca="1" si="30"/>
        <v>-1.2712055766289778E-2</v>
      </c>
      <c r="H123" t="str">
        <f t="shared" si="31"/>
        <v>0.05-0.5</v>
      </c>
      <c r="I123">
        <f t="shared" ca="1" si="32"/>
        <v>1.9161870150917464E-3</v>
      </c>
      <c r="J123">
        <f t="shared" ca="1" si="33"/>
        <v>1.9064585504475517E-3</v>
      </c>
      <c r="K123">
        <f t="shared" si="34"/>
        <v>1.1999999999999999E-3</v>
      </c>
    </row>
    <row r="124" spans="1:11" x14ac:dyDescent="0.35">
      <c r="A124" t="s">
        <v>314</v>
      </c>
      <c r="B124" t="s">
        <v>315</v>
      </c>
      <c r="C124">
        <v>9.0810000000000005E-3</v>
      </c>
      <c r="D124" t="s">
        <v>227</v>
      </c>
      <c r="E124">
        <f t="shared" ca="1" si="28"/>
        <v>-5.5738980580761661E-3</v>
      </c>
      <c r="F124">
        <f t="shared" ca="1" si="29"/>
        <v>7.5707419000753812E-2</v>
      </c>
      <c r="G124">
        <f t="shared" ca="1" si="30"/>
        <v>3.5066760471338825E-2</v>
      </c>
      <c r="H124" t="str">
        <f t="shared" si="31"/>
        <v>0-0.05</v>
      </c>
      <c r="I124">
        <f t="shared" ca="1" si="32"/>
        <v>8.9392696034038724E-2</v>
      </c>
      <c r="J124">
        <f t="shared" ca="1" si="33"/>
        <v>8.1478630379478167E-2</v>
      </c>
      <c r="K124">
        <f t="shared" si="34"/>
        <v>1.72E-2</v>
      </c>
    </row>
    <row r="125" spans="1:11" x14ac:dyDescent="0.35">
      <c r="A125" t="s">
        <v>442</v>
      </c>
      <c r="B125" t="s">
        <v>443</v>
      </c>
      <c r="C125">
        <v>2.003E-3</v>
      </c>
      <c r="D125" t="s">
        <v>250</v>
      </c>
      <c r="E125">
        <f t="shared" ca="1" si="28"/>
        <v>5.4820458174302464E-3</v>
      </c>
      <c r="F125">
        <f t="shared" ca="1" si="29"/>
        <v>-5.19826413695283E-2</v>
      </c>
      <c r="G125">
        <f t="shared" ca="1" si="30"/>
        <v>-2.3250297776049027E-2</v>
      </c>
      <c r="H125" t="str">
        <f t="shared" si="31"/>
        <v>0-0.05</v>
      </c>
      <c r="I125">
        <f t="shared" ca="1" si="32"/>
        <v>0.19713600342587817</v>
      </c>
      <c r="J125">
        <f t="shared" ca="1" si="33"/>
        <v>0.19191133690965381</v>
      </c>
      <c r="K125">
        <f t="shared" si="34"/>
        <v>1.8E-3</v>
      </c>
    </row>
    <row r="126" spans="1:11" x14ac:dyDescent="0.35">
      <c r="A126" t="s">
        <v>271</v>
      </c>
      <c r="B126" t="s">
        <v>272</v>
      </c>
      <c r="C126">
        <v>2.934E-3</v>
      </c>
      <c r="D126" t="s">
        <v>273</v>
      </c>
      <c r="E126">
        <f t="shared" ca="1" si="28"/>
        <v>2.4448927660610669E-2</v>
      </c>
      <c r="F126">
        <f t="shared" ca="1" si="29"/>
        <v>-8.3120094607668157E-2</v>
      </c>
      <c r="G126">
        <f t="shared" ca="1" si="30"/>
        <v>-2.9335583473528742E-2</v>
      </c>
      <c r="H126" t="str">
        <f t="shared" si="31"/>
        <v>0-0.05</v>
      </c>
      <c r="I126">
        <f t="shared" ca="1" si="32"/>
        <v>8.4418865572532011E-3</v>
      </c>
      <c r="J126">
        <f t="shared" ca="1" si="33"/>
        <v>9.0306639994702145E-3</v>
      </c>
      <c r="K126">
        <f t="shared" si="34"/>
        <v>1.26E-2</v>
      </c>
    </row>
    <row r="127" spans="1:11" x14ac:dyDescent="0.35">
      <c r="A127" t="s">
        <v>438</v>
      </c>
      <c r="B127" t="s">
        <v>438</v>
      </c>
      <c r="C127">
        <v>2.6020000000000001E-3</v>
      </c>
      <c r="D127" t="s">
        <v>439</v>
      </c>
      <c r="E127">
        <f t="shared" ca="1" si="28"/>
        <v>1.6726793707959535E-2</v>
      </c>
      <c r="F127">
        <f t="shared" ca="1" si="29"/>
        <v>5.4915198246550972E-2</v>
      </c>
      <c r="G127">
        <f t="shared" ca="1" si="30"/>
        <v>3.5820995977255257E-2</v>
      </c>
      <c r="H127" t="str">
        <f t="shared" si="31"/>
        <v>0-0.05</v>
      </c>
      <c r="I127">
        <f t="shared" ca="1" si="32"/>
        <v>2.112830510712991E-3</v>
      </c>
      <c r="J127">
        <f t="shared" ca="1" si="33"/>
        <v>2.0140410653987019E-3</v>
      </c>
      <c r="K127">
        <f t="shared" si="34"/>
        <v>1.5800000000000002E-2</v>
      </c>
    </row>
    <row r="128" spans="1:11" x14ac:dyDescent="0.35">
      <c r="A128" t="s">
        <v>48</v>
      </c>
      <c r="B128" t="s">
        <v>49</v>
      </c>
      <c r="C128">
        <v>9.4530000000000003E-2</v>
      </c>
      <c r="D128" t="s">
        <v>50</v>
      </c>
      <c r="E128">
        <f t="shared" ca="1" si="28"/>
        <v>-1.6890806877429939E-2</v>
      </c>
      <c r="F128">
        <f t="shared" ca="1" si="29"/>
        <v>-7.0382217690595814E-2</v>
      </c>
      <c r="G128">
        <f t="shared" ca="1" si="30"/>
        <v>-4.3636512284012878E-2</v>
      </c>
      <c r="H128" t="str">
        <f t="shared" si="31"/>
        <v>0.05-0.5</v>
      </c>
      <c r="I128">
        <f t="shared" ca="1" si="32"/>
        <v>3.199982879703907E-3</v>
      </c>
      <c r="J128">
        <f t="shared" ca="1" si="33"/>
        <v>3.0075309055467639E-3</v>
      </c>
      <c r="K128">
        <f t="shared" si="34"/>
        <v>7.3000000000000001E-3</v>
      </c>
    </row>
    <row r="129" spans="1:11" x14ac:dyDescent="0.35">
      <c r="A129" t="s">
        <v>111</v>
      </c>
      <c r="B129" t="s">
        <v>112</v>
      </c>
      <c r="C129">
        <v>0.1537</v>
      </c>
      <c r="D129" t="s">
        <v>113</v>
      </c>
      <c r="E129">
        <f t="shared" ca="1" si="28"/>
        <v>3.4471953257383954E-2</v>
      </c>
      <c r="F129">
        <f t="shared" ca="1" si="29"/>
        <v>-5.9985650238609578E-2</v>
      </c>
      <c r="G129">
        <f t="shared" ca="1" si="30"/>
        <v>-1.2756848490612812E-2</v>
      </c>
      <c r="H129" t="str">
        <f t="shared" si="31"/>
        <v>0.05-0.5</v>
      </c>
      <c r="I129">
        <f t="shared" ca="1" si="32"/>
        <v>2.4665489741023429E-3</v>
      </c>
      <c r="J129">
        <f t="shared" ca="1" si="33"/>
        <v>2.6462635037236885E-3</v>
      </c>
      <c r="K129">
        <f t="shared" si="34"/>
        <v>8.0000000000000002E-3</v>
      </c>
    </row>
    <row r="130" spans="1:11" x14ac:dyDescent="0.35">
      <c r="A130" t="s">
        <v>472</v>
      </c>
      <c r="B130" t="s">
        <v>472</v>
      </c>
      <c r="C130">
        <v>3.4099999999999998E-3</v>
      </c>
      <c r="D130" t="s">
        <v>179</v>
      </c>
      <c r="E130">
        <f t="shared" ca="1" si="28"/>
        <v>4.8882618120563576E-2</v>
      </c>
      <c r="F130">
        <f t="shared" ca="1" si="29"/>
        <v>-8.1292570520677537E-2</v>
      </c>
      <c r="G130">
        <f t="shared" ca="1" si="30"/>
        <v>-1.6204976200056981E-2</v>
      </c>
      <c r="H130" t="str">
        <f t="shared" si="31"/>
        <v>0-0.05</v>
      </c>
      <c r="I130">
        <f t="shared" ca="1" si="32"/>
        <v>0.10168695328220134</v>
      </c>
      <c r="J130">
        <f t="shared" ca="1" si="33"/>
        <v>9.2959833406571546E-2</v>
      </c>
      <c r="K130">
        <f t="shared" si="34"/>
        <v>2.2700000000000001E-2</v>
      </c>
    </row>
    <row r="131" spans="1:11" x14ac:dyDescent="0.35">
      <c r="A131" t="s">
        <v>332</v>
      </c>
      <c r="B131" t="s">
        <v>333</v>
      </c>
      <c r="C131">
        <v>1.839E-2</v>
      </c>
      <c r="D131" t="s">
        <v>148</v>
      </c>
      <c r="E131">
        <f t="shared" ca="1" si="28"/>
        <v>-4.0854992854271625E-2</v>
      </c>
      <c r="F131">
        <f t="shared" ca="1" si="29"/>
        <v>3.8942963090285395E-3</v>
      </c>
      <c r="G131">
        <f t="shared" ca="1" si="30"/>
        <v>-1.8480348272621544E-2</v>
      </c>
      <c r="H131" t="str">
        <f t="shared" si="31"/>
        <v>0-0.05</v>
      </c>
      <c r="I131">
        <f t="shared" ca="1" si="32"/>
        <v>0.16350814223103574</v>
      </c>
      <c r="J131">
        <f t="shared" ca="1" si="33"/>
        <v>0.15918750420408276</v>
      </c>
      <c r="K131">
        <f t="shared" si="34"/>
        <v>5.4000000000000003E-3</v>
      </c>
    </row>
    <row r="132" spans="1:11" x14ac:dyDescent="0.35">
      <c r="A132" t="s">
        <v>149</v>
      </c>
      <c r="B132" t="s">
        <v>150</v>
      </c>
      <c r="C132">
        <v>6.6350000000000003E-3</v>
      </c>
      <c r="D132" t="s">
        <v>151</v>
      </c>
      <c r="E132">
        <f t="shared" ref="E132:E163" ca="1" si="35">D132 + (RAND()-0.5)/10</f>
        <v>-2.858213361673927E-2</v>
      </c>
      <c r="F132">
        <f t="shared" ref="F132:F163" ca="1" si="36">D132 + (RAND()-0.5)/5</f>
        <v>8.2401927030740993E-2</v>
      </c>
      <c r="G132">
        <f t="shared" ref="G132:G163" ca="1" si="37">AVERAGE(D132,E132,F132)</f>
        <v>2.6909896707000863E-2</v>
      </c>
      <c r="H132" t="str">
        <f t="shared" ref="H132:H163" si="38">IF(C132&lt;=0.05,"0-0.05",
IF(C132&lt;=0.5,"0.05-0.5",
IF(C132&lt;=5,"0.5-5",
IF(C132&lt;=50,"5-50","&gt;50"))))</f>
        <v>0-0.05</v>
      </c>
      <c r="I132">
        <f t="shared" ca="1" si="32"/>
        <v>3.7117366101334539E-3</v>
      </c>
      <c r="J132">
        <f t="shared" ca="1" si="33"/>
        <v>3.5852567358844161E-3</v>
      </c>
      <c r="K132">
        <f t="shared" si="34"/>
        <v>3.0999999999999999E-3</v>
      </c>
    </row>
    <row r="133" spans="1:11" x14ac:dyDescent="0.35">
      <c r="A133" t="s">
        <v>411</v>
      </c>
      <c r="B133" t="s">
        <v>412</v>
      </c>
      <c r="C133">
        <v>1.06E-2</v>
      </c>
      <c r="D133" t="s">
        <v>139</v>
      </c>
      <c r="E133">
        <f t="shared" ca="1" si="35"/>
        <v>5.1137740594293393E-2</v>
      </c>
      <c r="F133">
        <f t="shared" ca="1" si="36"/>
        <v>0.10790763398067986</v>
      </c>
      <c r="G133">
        <f t="shared" ca="1" si="37"/>
        <v>7.9522687287486626E-2</v>
      </c>
      <c r="H133" t="str">
        <f t="shared" si="38"/>
        <v>0-0.05</v>
      </c>
      <c r="I133">
        <f t="shared" ca="1" si="32"/>
        <v>1.8318661703342332E-2</v>
      </c>
      <c r="J133">
        <f t="shared" ca="1" si="33"/>
        <v>1.7668167157050621E-2</v>
      </c>
      <c r="K133">
        <f t="shared" si="34"/>
        <v>5.3E-3</v>
      </c>
    </row>
    <row r="134" spans="1:11" x14ac:dyDescent="0.35">
      <c r="A134" t="s">
        <v>262</v>
      </c>
      <c r="B134" t="s">
        <v>263</v>
      </c>
      <c r="C134">
        <v>6.6669999999999993E-2</v>
      </c>
      <c r="D134" t="s">
        <v>264</v>
      </c>
      <c r="E134">
        <f t="shared" ca="1" si="35"/>
        <v>4.4413312184386759E-2</v>
      </c>
      <c r="F134">
        <f t="shared" ca="1" si="36"/>
        <v>-1.4796039237513502E-2</v>
      </c>
      <c r="G134">
        <f t="shared" ca="1" si="37"/>
        <v>1.4808636473436628E-2</v>
      </c>
      <c r="H134" t="str">
        <f t="shared" si="38"/>
        <v>0.05-0.5</v>
      </c>
      <c r="I134">
        <f t="shared" ca="1" si="32"/>
        <v>6.1298856130099638E-3</v>
      </c>
      <c r="J134">
        <f t="shared" ca="1" si="33"/>
        <v>6.4506273083606482E-3</v>
      </c>
      <c r="K134">
        <f t="shared" si="34"/>
        <v>1.32E-2</v>
      </c>
    </row>
    <row r="135" spans="1:11" x14ac:dyDescent="0.35">
      <c r="A135" t="s">
        <v>225</v>
      </c>
      <c r="B135" t="s">
        <v>226</v>
      </c>
      <c r="C135">
        <v>2.085E-2</v>
      </c>
      <c r="D135" t="s">
        <v>227</v>
      </c>
      <c r="E135">
        <f t="shared" ca="1" si="35"/>
        <v>4.3238638583880072E-2</v>
      </c>
      <c r="F135">
        <f t="shared" ca="1" si="36"/>
        <v>-7.471244628222308E-2</v>
      </c>
      <c r="G135">
        <f t="shared" ca="1" si="37"/>
        <v>-1.5736903849171504E-2</v>
      </c>
      <c r="H135" t="str">
        <f t="shared" si="38"/>
        <v>0-0.05</v>
      </c>
      <c r="I135">
        <f t="shared" ca="1" si="32"/>
        <v>9.5675845845691193E-3</v>
      </c>
      <c r="J135">
        <f t="shared" ca="1" si="33"/>
        <v>1.1171273696394052E-2</v>
      </c>
      <c r="K135">
        <f t="shared" si="34"/>
        <v>1.61E-2</v>
      </c>
    </row>
    <row r="136" spans="1:11" x14ac:dyDescent="0.35">
      <c r="A136" t="s">
        <v>500</v>
      </c>
      <c r="B136" t="s">
        <v>501</v>
      </c>
      <c r="C136">
        <v>6.2379999999999996E-3</v>
      </c>
      <c r="D136" t="s">
        <v>502</v>
      </c>
      <c r="E136">
        <f t="shared" ca="1" si="35"/>
        <v>4.0889528556289925E-2</v>
      </c>
      <c r="F136">
        <f t="shared" ca="1" si="36"/>
        <v>5.8075806170352857E-2</v>
      </c>
      <c r="G136">
        <f t="shared" ca="1" si="37"/>
        <v>4.9482667363321395E-2</v>
      </c>
      <c r="H136" t="str">
        <f t="shared" si="38"/>
        <v>0-0.05</v>
      </c>
      <c r="I136">
        <f t="shared" ca="1" si="32"/>
        <v>6.7671266717605927E-2</v>
      </c>
      <c r="J136">
        <f t="shared" ca="1" si="33"/>
        <v>6.9768657150720378E-2</v>
      </c>
      <c r="K136">
        <f t="shared" si="34"/>
        <v>1.1000000000000001E-3</v>
      </c>
    </row>
    <row r="137" spans="1:11" x14ac:dyDescent="0.35">
      <c r="A137" t="s">
        <v>423</v>
      </c>
      <c r="B137" t="s">
        <v>424</v>
      </c>
      <c r="C137">
        <v>8.6726999999999999E-2</v>
      </c>
      <c r="D137" t="s">
        <v>80</v>
      </c>
      <c r="E137">
        <f t="shared" ca="1" si="35"/>
        <v>-3.7351668254246337E-2</v>
      </c>
      <c r="F137">
        <f t="shared" ca="1" si="36"/>
        <v>-6.1850764449268049E-2</v>
      </c>
      <c r="G137">
        <f t="shared" ca="1" si="37"/>
        <v>-4.9601216351757196E-2</v>
      </c>
      <c r="H137" t="str">
        <f t="shared" si="38"/>
        <v>0.05-0.5</v>
      </c>
      <c r="I137">
        <f t="shared" ca="1" si="32"/>
        <v>2.253353556548485E-2</v>
      </c>
      <c r="J137">
        <f t="shared" ca="1" si="33"/>
        <v>2.1792267999973931E-2</v>
      </c>
      <c r="K137">
        <f t="shared" si="34"/>
        <v>1.26E-2</v>
      </c>
    </row>
    <row r="138" spans="1:11" x14ac:dyDescent="0.35">
      <c r="A138" t="s">
        <v>114</v>
      </c>
      <c r="B138" t="s">
        <v>115</v>
      </c>
      <c r="C138">
        <v>1.813E-2</v>
      </c>
      <c r="D138" t="s">
        <v>116</v>
      </c>
      <c r="E138">
        <f t="shared" ca="1" si="35"/>
        <v>1.6071700436856615E-2</v>
      </c>
      <c r="F138">
        <f t="shared" ca="1" si="36"/>
        <v>0.10644079760845426</v>
      </c>
      <c r="G138">
        <f t="shared" ca="1" si="37"/>
        <v>6.1256249022655439E-2</v>
      </c>
      <c r="H138" t="str">
        <f t="shared" si="38"/>
        <v>0-0.05</v>
      </c>
      <c r="I138">
        <f t="shared" ca="1" si="32"/>
        <v>5.895607822825188E-3</v>
      </c>
      <c r="J138">
        <f t="shared" ca="1" si="33"/>
        <v>6.5039431699772717E-3</v>
      </c>
      <c r="K138">
        <f t="shared" si="34"/>
        <v>2.9399999999999999E-2</v>
      </c>
    </row>
    <row r="139" spans="1:11" x14ac:dyDescent="0.35">
      <c r="A139" t="s">
        <v>396</v>
      </c>
      <c r="B139" t="s">
        <v>397</v>
      </c>
      <c r="C139">
        <v>2.8370000000000001E-5</v>
      </c>
      <c r="D139" t="s">
        <v>366</v>
      </c>
      <c r="E139">
        <f t="shared" ca="1" si="35"/>
        <v>-1.8932948475878203E-2</v>
      </c>
      <c r="F139">
        <f t="shared" ca="1" si="36"/>
        <v>-7.0581943767553487E-2</v>
      </c>
      <c r="G139">
        <f t="shared" ca="1" si="37"/>
        <v>-4.4757446121715845E-2</v>
      </c>
      <c r="H139" t="str">
        <f t="shared" si="38"/>
        <v>0-0.05</v>
      </c>
      <c r="I139">
        <f t="shared" ca="1" si="32"/>
        <v>9.2444780332936807E-2</v>
      </c>
      <c r="J139">
        <f t="shared" ca="1" si="33"/>
        <v>8.3604242084993619E-2</v>
      </c>
      <c r="K139">
        <f t="shared" si="34"/>
        <v>0</v>
      </c>
    </row>
    <row r="140" spans="1:11" x14ac:dyDescent="0.35">
      <c r="A140" t="s">
        <v>33</v>
      </c>
      <c r="B140" t="s">
        <v>34</v>
      </c>
      <c r="C140">
        <v>9.0959999999999999E-3</v>
      </c>
      <c r="D140" t="s">
        <v>35</v>
      </c>
      <c r="E140">
        <f t="shared" ca="1" si="35"/>
        <v>-2.8290700349921871E-2</v>
      </c>
      <c r="F140">
        <f t="shared" ca="1" si="36"/>
        <v>-4.9543155032397979E-2</v>
      </c>
      <c r="G140">
        <f t="shared" ca="1" si="37"/>
        <v>-3.8916927691159925E-2</v>
      </c>
      <c r="H140" t="str">
        <f t="shared" si="38"/>
        <v>0-0.05</v>
      </c>
      <c r="I140">
        <f t="shared" ca="1" si="32"/>
        <v>1.6385874453642316E-2</v>
      </c>
      <c r="J140">
        <f t="shared" ca="1" si="33"/>
        <v>1.8426139392524413E-2</v>
      </c>
      <c r="K140">
        <f t="shared" si="34"/>
        <v>1.5900000000000001E-2</v>
      </c>
    </row>
    <row r="141" spans="1:11" x14ac:dyDescent="0.35">
      <c r="A141" t="s">
        <v>209</v>
      </c>
      <c r="B141" t="s">
        <v>210</v>
      </c>
      <c r="C141">
        <v>0.5232</v>
      </c>
      <c r="D141" t="s">
        <v>211</v>
      </c>
      <c r="E141">
        <f t="shared" ca="1" si="35"/>
        <v>1.7482713046947096E-5</v>
      </c>
      <c r="F141">
        <f t="shared" ca="1" si="36"/>
        <v>-6.7134285683756401E-2</v>
      </c>
      <c r="G141">
        <f t="shared" ca="1" si="37"/>
        <v>-3.355840148535473E-2</v>
      </c>
      <c r="H141" t="str">
        <f t="shared" si="38"/>
        <v>0.5-5</v>
      </c>
      <c r="I141">
        <f t="shared" ca="1" si="32"/>
        <v>3.0524476913007906E-5</v>
      </c>
      <c r="J141">
        <f t="shared" ca="1" si="33"/>
        <v>2.7842852704327502E-5</v>
      </c>
      <c r="K141">
        <f t="shared" si="34"/>
        <v>3.7000000000000002E-3</v>
      </c>
    </row>
    <row r="142" spans="1:11" x14ac:dyDescent="0.35">
      <c r="A142" t="s">
        <v>83</v>
      </c>
      <c r="B142" t="s">
        <v>84</v>
      </c>
      <c r="C142">
        <v>0.49459999999999998</v>
      </c>
      <c r="D142" t="s">
        <v>85</v>
      </c>
      <c r="E142">
        <f t="shared" ca="1" si="35"/>
        <v>2.7094539693349292E-2</v>
      </c>
      <c r="F142">
        <f t="shared" ca="1" si="36"/>
        <v>-3.303720098458237E-2</v>
      </c>
      <c r="G142">
        <f t="shared" ca="1" si="37"/>
        <v>-2.9713306456165389E-3</v>
      </c>
      <c r="H142" t="str">
        <f t="shared" si="38"/>
        <v>0.05-0.5</v>
      </c>
      <c r="I142">
        <f t="shared" ca="1" si="32"/>
        <v>9.5701346654092981E-3</v>
      </c>
      <c r="J142">
        <f t="shared" ca="1" si="33"/>
        <v>8.8457476051321676E-3</v>
      </c>
      <c r="K142">
        <f t="shared" si="34"/>
        <v>1.3999999999999999E-2</v>
      </c>
    </row>
    <row r="143" spans="1:11" x14ac:dyDescent="0.35">
      <c r="A143" t="s">
        <v>379</v>
      </c>
      <c r="B143" t="s">
        <v>380</v>
      </c>
      <c r="C143">
        <v>1.9529999999999999E-2</v>
      </c>
      <c r="D143" t="s">
        <v>23</v>
      </c>
      <c r="E143">
        <f t="shared" ca="1" si="35"/>
        <v>2.5931585448474615E-2</v>
      </c>
      <c r="F143">
        <f t="shared" ca="1" si="36"/>
        <v>-5.4539680253787755E-3</v>
      </c>
      <c r="G143">
        <f t="shared" ca="1" si="37"/>
        <v>1.023880871154792E-2</v>
      </c>
      <c r="H143" t="str">
        <f t="shared" si="38"/>
        <v>0-0.05</v>
      </c>
      <c r="I143">
        <f t="shared" ca="1" si="32"/>
        <v>0.56085242706501059</v>
      </c>
      <c r="J143">
        <f t="shared" ca="1" si="33"/>
        <v>0.52320914711538258</v>
      </c>
      <c r="K143">
        <f t="shared" si="34"/>
        <v>2.1899999999999999E-2</v>
      </c>
    </row>
    <row r="144" spans="1:11" x14ac:dyDescent="0.35">
      <c r="A144" t="s">
        <v>417</v>
      </c>
      <c r="B144" t="s">
        <v>418</v>
      </c>
      <c r="C144">
        <v>2.632E-2</v>
      </c>
      <c r="D144" t="s">
        <v>419</v>
      </c>
      <c r="E144">
        <f t="shared" ca="1" si="35"/>
        <v>4.1581474094717262E-2</v>
      </c>
      <c r="F144">
        <f t="shared" ca="1" si="36"/>
        <v>-4.5730308255453891E-2</v>
      </c>
      <c r="G144">
        <f t="shared" ca="1" si="37"/>
        <v>-2.0744170803683147E-3</v>
      </c>
      <c r="H144" t="str">
        <f t="shared" si="38"/>
        <v>0-0.05</v>
      </c>
      <c r="I144">
        <f t="shared" ref="I144:I175" ca="1" si="39">C142/(1+F142)</f>
        <v>0.51149847802171122</v>
      </c>
      <c r="J144">
        <f t="shared" ref="J144:J175" ca="1" si="40">C142/(1-E142)</f>
        <v>0.50837416396461244</v>
      </c>
      <c r="K144">
        <f t="shared" ref="K144:K175" si="41">VALUE(SUBSTITUTE(D142,"%",""))/100</f>
        <v>3.0299999999999997E-2</v>
      </c>
    </row>
    <row r="145" spans="1:11" x14ac:dyDescent="0.35">
      <c r="A145" t="s">
        <v>470</v>
      </c>
      <c r="B145" t="s">
        <v>471</v>
      </c>
      <c r="C145">
        <v>5.9199999999999997E-4</v>
      </c>
      <c r="D145" t="s">
        <v>393</v>
      </c>
      <c r="E145">
        <f t="shared" ca="1" si="35"/>
        <v>-3.6080409064011235E-2</v>
      </c>
      <c r="F145">
        <f t="shared" ca="1" si="36"/>
        <v>7.4885239249292551E-2</v>
      </c>
      <c r="G145">
        <f t="shared" ca="1" si="37"/>
        <v>1.9402415092640658E-2</v>
      </c>
      <c r="H145" t="str">
        <f t="shared" si="38"/>
        <v>0-0.05</v>
      </c>
      <c r="I145">
        <f t="shared" ca="1" si="39"/>
        <v>1.9637100116144612E-2</v>
      </c>
      <c r="J145">
        <f t="shared" ca="1" si="40"/>
        <v>2.0049926379136194E-2</v>
      </c>
      <c r="K145">
        <f t="shared" si="41"/>
        <v>2.9999999999999997E-4</v>
      </c>
    </row>
    <row r="146" spans="1:11" x14ac:dyDescent="0.35">
      <c r="A146" t="s">
        <v>400</v>
      </c>
      <c r="B146" t="s">
        <v>401</v>
      </c>
      <c r="C146">
        <v>1.094E-2</v>
      </c>
      <c r="D146" t="s">
        <v>402</v>
      </c>
      <c r="E146">
        <f t="shared" ca="1" si="35"/>
        <v>5.7802526498135894E-2</v>
      </c>
      <c r="F146">
        <f t="shared" ca="1" si="36"/>
        <v>0.10672716018549648</v>
      </c>
      <c r="G146">
        <f t="shared" ca="1" si="37"/>
        <v>8.2264843341816191E-2</v>
      </c>
      <c r="H146" t="str">
        <f t="shared" si="38"/>
        <v>0-0.05</v>
      </c>
      <c r="I146">
        <f t="shared" ca="1" si="39"/>
        <v>2.758130141583261E-2</v>
      </c>
      <c r="J146">
        <f t="shared" ca="1" si="40"/>
        <v>2.7461906556052022E-2</v>
      </c>
      <c r="K146">
        <f t="shared" si="41"/>
        <v>2.6699999999999998E-2</v>
      </c>
    </row>
    <row r="147" spans="1:11" x14ac:dyDescent="0.35">
      <c r="A147" t="s">
        <v>495</v>
      </c>
      <c r="B147" t="s">
        <v>496</v>
      </c>
      <c r="C147">
        <v>1.286E-3</v>
      </c>
      <c r="D147" t="s">
        <v>80</v>
      </c>
      <c r="E147">
        <f t="shared" ca="1" si="35"/>
        <v>-2.0657469814638885E-2</v>
      </c>
      <c r="F147">
        <f t="shared" ca="1" si="36"/>
        <v>9.6381845242998532E-2</v>
      </c>
      <c r="G147">
        <f t="shared" ca="1" si="37"/>
        <v>3.7862187714179825E-2</v>
      </c>
      <c r="H147" t="str">
        <f t="shared" si="38"/>
        <v>0-0.05</v>
      </c>
      <c r="I147">
        <f t="shared" ca="1" si="39"/>
        <v>5.5075646997762942E-4</v>
      </c>
      <c r="J147">
        <f t="shared" ca="1" si="40"/>
        <v>5.7138422348397577E-4</v>
      </c>
      <c r="K147">
        <f t="shared" si="41"/>
        <v>6.8000000000000005E-3</v>
      </c>
    </row>
    <row r="148" spans="1:11" x14ac:dyDescent="0.35">
      <c r="A148" t="s">
        <v>334</v>
      </c>
      <c r="B148" t="s">
        <v>335</v>
      </c>
      <c r="C148">
        <v>3.6720000000000003E-2</v>
      </c>
      <c r="D148" t="s">
        <v>257</v>
      </c>
      <c r="E148">
        <f t="shared" ca="1" si="35"/>
        <v>-1.1631090313448927E-3</v>
      </c>
      <c r="F148">
        <f t="shared" ca="1" si="36"/>
        <v>7.1684591839864933E-2</v>
      </c>
      <c r="G148">
        <f t="shared" ca="1" si="37"/>
        <v>3.526074140426002E-2</v>
      </c>
      <c r="H148" t="str">
        <f t="shared" si="38"/>
        <v>0-0.05</v>
      </c>
      <c r="I148">
        <f t="shared" ca="1" si="39"/>
        <v>9.8850018266167499E-3</v>
      </c>
      <c r="J148">
        <f t="shared" ca="1" si="40"/>
        <v>1.1611154039014047E-2</v>
      </c>
      <c r="K148">
        <f t="shared" si="41"/>
        <v>1.18E-2</v>
      </c>
    </row>
    <row r="149" spans="1:11" x14ac:dyDescent="0.35">
      <c r="A149" t="s">
        <v>436</v>
      </c>
      <c r="B149" t="s">
        <v>437</v>
      </c>
      <c r="C149">
        <v>2.283E-2</v>
      </c>
      <c r="D149" t="s">
        <v>93</v>
      </c>
      <c r="E149">
        <f t="shared" ca="1" si="35"/>
        <v>-2.8810503980380556E-2</v>
      </c>
      <c r="F149">
        <f t="shared" ca="1" si="36"/>
        <v>2.1152442241632818E-2</v>
      </c>
      <c r="G149">
        <f t="shared" ca="1" si="37"/>
        <v>-3.8290308693738687E-3</v>
      </c>
      <c r="H149" t="str">
        <f t="shared" si="38"/>
        <v>0-0.05</v>
      </c>
      <c r="I149">
        <f t="shared" ca="1" si="39"/>
        <v>1.1729490100367132E-3</v>
      </c>
      <c r="J149">
        <f t="shared" ca="1" si="40"/>
        <v>1.2599721630740133E-3</v>
      </c>
      <c r="K149">
        <f t="shared" si="41"/>
        <v>0</v>
      </c>
    </row>
    <row r="150" spans="1:11" x14ac:dyDescent="0.35">
      <c r="A150" t="s">
        <v>255</v>
      </c>
      <c r="B150" t="s">
        <v>256</v>
      </c>
      <c r="C150">
        <v>1.8370000000000001E-2</v>
      </c>
      <c r="D150" t="s">
        <v>257</v>
      </c>
      <c r="E150">
        <f t="shared" ca="1" si="35"/>
        <v>-1.5255385131039228E-2</v>
      </c>
      <c r="F150">
        <f t="shared" ca="1" si="36"/>
        <v>2.8092003609077676E-3</v>
      </c>
      <c r="G150">
        <f t="shared" ca="1" si="37"/>
        <v>-6.2230923850657306E-3</v>
      </c>
      <c r="H150" t="str">
        <f t="shared" si="38"/>
        <v>0-0.05</v>
      </c>
      <c r="I150">
        <f t="shared" ca="1" si="39"/>
        <v>3.4263812580303331E-2</v>
      </c>
      <c r="J150">
        <f t="shared" ca="1" si="40"/>
        <v>3.6677340254304511E-2</v>
      </c>
      <c r="K150">
        <f t="shared" si="41"/>
        <v>4.0000000000000001E-3</v>
      </c>
    </row>
    <row r="151" spans="1:11" x14ac:dyDescent="0.35">
      <c r="A151" t="s">
        <v>88</v>
      </c>
      <c r="B151" t="s">
        <v>89</v>
      </c>
      <c r="C151">
        <v>0.1205</v>
      </c>
      <c r="D151" t="s">
        <v>90</v>
      </c>
      <c r="E151">
        <f t="shared" ca="1" si="35"/>
        <v>-1.4795236901049433E-2</v>
      </c>
      <c r="F151">
        <f t="shared" ca="1" si="36"/>
        <v>-5.6536410049635583E-3</v>
      </c>
      <c r="G151">
        <f t="shared" ca="1" si="37"/>
        <v>-1.0224438953006496E-2</v>
      </c>
      <c r="H151" t="str">
        <f t="shared" si="38"/>
        <v>0.05-0.5</v>
      </c>
      <c r="I151">
        <f t="shared" ca="1" si="39"/>
        <v>2.2357092884078701E-2</v>
      </c>
      <c r="J151">
        <f t="shared" ca="1" si="40"/>
        <v>2.2190675456435046E-2</v>
      </c>
      <c r="K151">
        <f t="shared" si="41"/>
        <v>3.2000000000000002E-3</v>
      </c>
    </row>
    <row r="152" spans="1:11" x14ac:dyDescent="0.35">
      <c r="A152" t="s">
        <v>134</v>
      </c>
      <c r="B152" t="s">
        <v>135</v>
      </c>
      <c r="C152">
        <v>3.2290000000000001E-3</v>
      </c>
      <c r="D152" t="s">
        <v>136</v>
      </c>
      <c r="E152">
        <f t="shared" ca="1" si="35"/>
        <v>2.9485342253520123E-2</v>
      </c>
      <c r="F152">
        <f t="shared" ca="1" si="36"/>
        <v>0.10595043711749971</v>
      </c>
      <c r="G152">
        <f t="shared" ca="1" si="37"/>
        <v>6.7717889685509916E-2</v>
      </c>
      <c r="H152" t="str">
        <f t="shared" si="38"/>
        <v>0-0.05</v>
      </c>
      <c r="I152">
        <f t="shared" ca="1" si="39"/>
        <v>1.8318539552078999E-2</v>
      </c>
      <c r="J152">
        <f t="shared" ca="1" si="40"/>
        <v>1.8093969526326598E-2</v>
      </c>
      <c r="K152">
        <f t="shared" si="41"/>
        <v>4.0000000000000001E-3</v>
      </c>
    </row>
    <row r="153" spans="1:11" x14ac:dyDescent="0.35">
      <c r="A153" t="s">
        <v>214</v>
      </c>
      <c r="B153" t="s">
        <v>215</v>
      </c>
      <c r="C153">
        <v>5.6509999999999998E-2</v>
      </c>
      <c r="D153" t="s">
        <v>216</v>
      </c>
      <c r="E153">
        <f t="shared" ca="1" si="35"/>
        <v>6.1400429289567827E-2</v>
      </c>
      <c r="F153">
        <f t="shared" ca="1" si="36"/>
        <v>9.4340975599549737E-2</v>
      </c>
      <c r="G153">
        <f t="shared" ca="1" si="37"/>
        <v>7.7870702444558779E-2</v>
      </c>
      <c r="H153" t="str">
        <f t="shared" si="38"/>
        <v>0.05-0.5</v>
      </c>
      <c r="I153">
        <f t="shared" ca="1" si="39"/>
        <v>0.12118513726121212</v>
      </c>
      <c r="J153">
        <f t="shared" ca="1" si="40"/>
        <v>0.11874316671802601</v>
      </c>
      <c r="K153">
        <f t="shared" si="41"/>
        <v>1.1399999999999999E-2</v>
      </c>
    </row>
    <row r="154" spans="1:11" x14ac:dyDescent="0.35">
      <c r="A154" t="s">
        <v>426</v>
      </c>
      <c r="B154" t="s">
        <v>427</v>
      </c>
      <c r="C154">
        <v>5.638E-2</v>
      </c>
      <c r="D154" t="s">
        <v>428</v>
      </c>
      <c r="E154">
        <f t="shared" ca="1" si="35"/>
        <v>2.3319672750226349E-2</v>
      </c>
      <c r="F154">
        <f t="shared" ca="1" si="36"/>
        <v>-1.2449806550427513E-2</v>
      </c>
      <c r="G154">
        <f t="shared" ca="1" si="37"/>
        <v>5.434933099899418E-3</v>
      </c>
      <c r="H154" t="str">
        <f t="shared" si="38"/>
        <v>0.05-0.5</v>
      </c>
      <c r="I154">
        <f t="shared" ca="1" si="39"/>
        <v>2.9196606752251238E-3</v>
      </c>
      <c r="J154">
        <f t="shared" ca="1" si="40"/>
        <v>3.3271007029380562E-3</v>
      </c>
      <c r="K154">
        <f t="shared" si="41"/>
        <v>3.4200000000000001E-2</v>
      </c>
    </row>
    <row r="155" spans="1:11" x14ac:dyDescent="0.35">
      <c r="A155" t="s">
        <v>485</v>
      </c>
      <c r="B155" t="s">
        <v>486</v>
      </c>
      <c r="C155">
        <v>4.0850000000000001E-3</v>
      </c>
      <c r="D155" t="s">
        <v>361</v>
      </c>
      <c r="E155">
        <f t="shared" ca="1" si="35"/>
        <v>3.2322581977001753E-2</v>
      </c>
      <c r="F155">
        <f t="shared" ca="1" si="36"/>
        <v>8.6731274159418587E-2</v>
      </c>
      <c r="G155">
        <f t="shared" ca="1" si="37"/>
        <v>5.9526928068210166E-2</v>
      </c>
      <c r="H155" t="str">
        <f t="shared" si="38"/>
        <v>0-0.05</v>
      </c>
      <c r="I155">
        <f t="shared" ca="1" si="39"/>
        <v>5.1638384434102194E-2</v>
      </c>
      <c r="J155">
        <f t="shared" ca="1" si="40"/>
        <v>6.0206718352989665E-2</v>
      </c>
      <c r="K155">
        <f t="shared" si="41"/>
        <v>1.46E-2</v>
      </c>
    </row>
    <row r="156" spans="1:11" x14ac:dyDescent="0.35">
      <c r="A156" t="s">
        <v>448</v>
      </c>
      <c r="B156" t="s">
        <v>449</v>
      </c>
      <c r="C156">
        <v>4.5649999999999996E-3</v>
      </c>
      <c r="D156" t="s">
        <v>18</v>
      </c>
      <c r="E156">
        <f t="shared" ca="1" si="35"/>
        <v>5.0617936285655696E-2</v>
      </c>
      <c r="F156">
        <f t="shared" ca="1" si="36"/>
        <v>-1.1797228551272031E-2</v>
      </c>
      <c r="G156">
        <f t="shared" ca="1" si="37"/>
        <v>1.941035386719183E-2</v>
      </c>
      <c r="H156" t="str">
        <f t="shared" si="38"/>
        <v>0-0.05</v>
      </c>
      <c r="I156">
        <f t="shared" ca="1" si="39"/>
        <v>5.7090769030241642E-2</v>
      </c>
      <c r="J156">
        <f t="shared" ca="1" si="40"/>
        <v>5.7726155044772937E-2</v>
      </c>
      <c r="K156">
        <f t="shared" si="41"/>
        <v>2.4799999999999999E-2</v>
      </c>
    </row>
    <row r="157" spans="1:11" x14ac:dyDescent="0.35">
      <c r="A157" t="s">
        <v>330</v>
      </c>
      <c r="B157" t="s">
        <v>331</v>
      </c>
      <c r="C157">
        <v>4.7939999999999997E-3</v>
      </c>
      <c r="D157" t="s">
        <v>185</v>
      </c>
      <c r="E157">
        <f t="shared" ca="1" si="35"/>
        <v>5.0492116298307965E-2</v>
      </c>
      <c r="F157">
        <f t="shared" ca="1" si="36"/>
        <v>-8.1899210951836304E-2</v>
      </c>
      <c r="G157">
        <f t="shared" ca="1" si="37"/>
        <v>-1.570354732676417E-2</v>
      </c>
      <c r="H157" t="str">
        <f t="shared" si="38"/>
        <v>0-0.05</v>
      </c>
      <c r="I157">
        <f t="shared" ca="1" si="39"/>
        <v>3.7589789648408969E-3</v>
      </c>
      <c r="J157">
        <f t="shared" ca="1" si="40"/>
        <v>4.2214481023498621E-3</v>
      </c>
      <c r="K157">
        <f t="shared" si="41"/>
        <v>2E-3</v>
      </c>
    </row>
    <row r="158" spans="1:11" x14ac:dyDescent="0.35">
      <c r="A158" t="s">
        <v>392</v>
      </c>
      <c r="B158" t="s">
        <v>392</v>
      </c>
      <c r="C158">
        <v>0.53049999999999997</v>
      </c>
      <c r="D158" t="s">
        <v>393</v>
      </c>
      <c r="E158">
        <f t="shared" ca="1" si="35"/>
        <v>3.2935746290471503E-2</v>
      </c>
      <c r="F158">
        <f t="shared" ca="1" si="36"/>
        <v>-5.8188374709142399E-2</v>
      </c>
      <c r="G158">
        <f t="shared" ca="1" si="37"/>
        <v>-1.2626314209335448E-2</v>
      </c>
      <c r="H158" t="str">
        <f t="shared" si="38"/>
        <v>0.5-5</v>
      </c>
      <c r="I158">
        <f t="shared" ca="1" si="39"/>
        <v>4.6194972650275053E-3</v>
      </c>
      <c r="J158">
        <f t="shared" ca="1" si="40"/>
        <v>4.8083908201719972E-3</v>
      </c>
      <c r="K158">
        <f t="shared" si="41"/>
        <v>1E-3</v>
      </c>
    </row>
    <row r="159" spans="1:11" x14ac:dyDescent="0.35">
      <c r="A159" t="s">
        <v>455</v>
      </c>
      <c r="B159" t="s">
        <v>456</v>
      </c>
      <c r="C159">
        <v>0.1976</v>
      </c>
      <c r="D159" t="s">
        <v>457</v>
      </c>
      <c r="E159">
        <f t="shared" ca="1" si="35"/>
        <v>-3.4380689446111473E-2</v>
      </c>
      <c r="F159">
        <f t="shared" ca="1" si="36"/>
        <v>-7.9163055285206368E-2</v>
      </c>
      <c r="G159">
        <f t="shared" ca="1" si="37"/>
        <v>-5.6771872365658921E-2</v>
      </c>
      <c r="H159" t="str">
        <f t="shared" si="38"/>
        <v>0.05-0.5</v>
      </c>
      <c r="I159">
        <f t="shared" ca="1" si="39"/>
        <v>5.2216489269878031E-3</v>
      </c>
      <c r="J159">
        <f t="shared" ca="1" si="40"/>
        <v>5.0489312224669593E-3</v>
      </c>
      <c r="K159">
        <f t="shared" si="41"/>
        <v>2.5000000000000001E-3</v>
      </c>
    </row>
    <row r="160" spans="1:11" x14ac:dyDescent="0.35">
      <c r="A160" t="s">
        <v>146</v>
      </c>
      <c r="B160" t="s">
        <v>147</v>
      </c>
      <c r="C160">
        <v>6.2719999999999998E-3</v>
      </c>
      <c r="D160" t="s">
        <v>148</v>
      </c>
      <c r="E160">
        <f t="shared" ca="1" si="35"/>
        <v>1.0734917295297592E-2</v>
      </c>
      <c r="F160">
        <f t="shared" ca="1" si="36"/>
        <v>-2.9879802609964631E-2</v>
      </c>
      <c r="G160">
        <f t="shared" ca="1" si="37"/>
        <v>-9.5724426573335197E-3</v>
      </c>
      <c r="H160" t="str">
        <f t="shared" si="38"/>
        <v>0-0.05</v>
      </c>
      <c r="I160">
        <f t="shared" ca="1" si="39"/>
        <v>0.56327612205483957</v>
      </c>
      <c r="J160">
        <f t="shared" ca="1" si="40"/>
        <v>0.54856747932215799</v>
      </c>
      <c r="K160">
        <f t="shared" si="41"/>
        <v>6.8000000000000005E-3</v>
      </c>
    </row>
    <row r="161" spans="1:11" x14ac:dyDescent="0.35">
      <c r="A161" t="s">
        <v>241</v>
      </c>
      <c r="B161" t="s">
        <v>242</v>
      </c>
      <c r="C161">
        <v>2.8809999999999999E-2</v>
      </c>
      <c r="D161" t="s">
        <v>23</v>
      </c>
      <c r="E161">
        <f t="shared" ca="1" si="35"/>
        <v>-4.5915071242894422E-2</v>
      </c>
      <c r="F161">
        <f t="shared" ca="1" si="36"/>
        <v>-5.4190946924330893E-2</v>
      </c>
      <c r="G161">
        <f t="shared" ca="1" si="37"/>
        <v>-5.0053009083612654E-2</v>
      </c>
      <c r="H161" t="str">
        <f t="shared" si="38"/>
        <v>0-0.05</v>
      </c>
      <c r="I161">
        <f t="shared" ca="1" si="39"/>
        <v>0.21458739371192551</v>
      </c>
      <c r="J161">
        <f t="shared" ca="1" si="40"/>
        <v>0.19103218188055168</v>
      </c>
      <c r="K161">
        <f t="shared" si="41"/>
        <v>1.2E-2</v>
      </c>
    </row>
    <row r="162" spans="1:11" x14ac:dyDescent="0.35">
      <c r="A162" t="s">
        <v>382</v>
      </c>
      <c r="B162" t="s">
        <v>383</v>
      </c>
      <c r="C162">
        <v>2.34</v>
      </c>
      <c r="D162" t="s">
        <v>308</v>
      </c>
      <c r="E162">
        <f t="shared" ca="1" si="35"/>
        <v>1.6513813423893051E-2</v>
      </c>
      <c r="F162">
        <f t="shared" ca="1" si="36"/>
        <v>1.7034041377852915E-2</v>
      </c>
      <c r="G162">
        <f t="shared" ca="1" si="37"/>
        <v>1.6773927400872982E-2</v>
      </c>
      <c r="H162" t="str">
        <f t="shared" si="38"/>
        <v>0.5-5</v>
      </c>
      <c r="I162">
        <f t="shared" ca="1" si="39"/>
        <v>6.4651782499466418E-3</v>
      </c>
      <c r="J162">
        <f t="shared" ca="1" si="40"/>
        <v>6.3400600199615097E-3</v>
      </c>
      <c r="K162">
        <f t="shared" si="41"/>
        <v>5.3E-3</v>
      </c>
    </row>
    <row r="163" spans="1:11" x14ac:dyDescent="0.35">
      <c r="A163" t="s">
        <v>487</v>
      </c>
      <c r="B163" t="s">
        <v>488</v>
      </c>
      <c r="C163">
        <v>4.9459999999999999E-4</v>
      </c>
      <c r="D163" t="s">
        <v>489</v>
      </c>
      <c r="E163">
        <f t="shared" ca="1" si="35"/>
        <v>4.6053358396700557E-2</v>
      </c>
      <c r="F163">
        <f t="shared" ca="1" si="36"/>
        <v>-5.6818054185695868E-2</v>
      </c>
      <c r="G163">
        <f t="shared" ca="1" si="37"/>
        <v>-5.3823478944976556E-3</v>
      </c>
      <c r="H163" t="str">
        <f t="shared" si="38"/>
        <v>0-0.05</v>
      </c>
      <c r="I163">
        <f t="shared" ca="1" si="39"/>
        <v>3.0460693843342886E-2</v>
      </c>
      <c r="J163">
        <f t="shared" ca="1" si="40"/>
        <v>2.754525753775032E-2</v>
      </c>
      <c r="K163">
        <f t="shared" si="41"/>
        <v>2.9999999999999997E-4</v>
      </c>
    </row>
    <row r="164" spans="1:11" x14ac:dyDescent="0.35">
      <c r="A164" t="s">
        <v>319</v>
      </c>
      <c r="B164" t="s">
        <v>320</v>
      </c>
      <c r="C164">
        <v>1.413E-2</v>
      </c>
      <c r="D164" t="s">
        <v>67</v>
      </c>
      <c r="E164">
        <f t="shared" ref="E164:E195" ca="1" si="42">D164 + (RAND()-0.5)/10</f>
        <v>-3.9756182830422891E-2</v>
      </c>
      <c r="F164">
        <f t="shared" ref="F164:F195" ca="1" si="43">D164 + (RAND()-0.5)/5</f>
        <v>-6.2965066818843757E-2</v>
      </c>
      <c r="G164">
        <f t="shared" ref="G164:G195" ca="1" si="44">AVERAGE(D164,E164,F164)</f>
        <v>-5.1360624824633327E-2</v>
      </c>
      <c r="H164" t="str">
        <f t="shared" ref="H164:H195" si="45">IF(C164&lt;=0.05,"0-0.05",
IF(C164&lt;=0.5,"0.05-0.5",
IF(C164&lt;=5,"0.5-5",
IF(C164&lt;=50,"5-50","&gt;50"))))</f>
        <v>0-0.05</v>
      </c>
      <c r="I164">
        <f t="shared" ca="1" si="39"/>
        <v>2.300807942308229</v>
      </c>
      <c r="J164">
        <f t="shared" ca="1" si="40"/>
        <v>2.3792911704702617</v>
      </c>
      <c r="K164">
        <f t="shared" si="41"/>
        <v>1.1999999999999999E-3</v>
      </c>
    </row>
    <row r="165" spans="1:11" x14ac:dyDescent="0.35">
      <c r="A165" t="s">
        <v>287</v>
      </c>
      <c r="B165" t="s">
        <v>288</v>
      </c>
      <c r="C165">
        <v>5.5989999999999998E-2</v>
      </c>
      <c r="D165" t="s">
        <v>23</v>
      </c>
      <c r="E165">
        <f t="shared" ca="1" si="42"/>
        <v>2.1143498131183516E-2</v>
      </c>
      <c r="F165">
        <f t="shared" ca="1" si="43"/>
        <v>3.8164490398877961E-2</v>
      </c>
      <c r="G165">
        <f t="shared" ca="1" si="44"/>
        <v>2.9653994265030736E-2</v>
      </c>
      <c r="H165" t="str">
        <f t="shared" si="45"/>
        <v>0.05-0.5</v>
      </c>
      <c r="I165">
        <f t="shared" ca="1" si="39"/>
        <v>5.2439510976112129E-4</v>
      </c>
      <c r="J165">
        <f t="shared" ca="1" si="40"/>
        <v>5.1847763641027663E-4</v>
      </c>
      <c r="K165">
        <f t="shared" si="41"/>
        <v>4.3E-3</v>
      </c>
    </row>
    <row r="166" spans="1:11" x14ac:dyDescent="0.35">
      <c r="A166" t="s">
        <v>369</v>
      </c>
      <c r="B166" t="s">
        <v>370</v>
      </c>
      <c r="C166">
        <v>4.9799999999999997E-2</v>
      </c>
      <c r="D166" t="s">
        <v>371</v>
      </c>
      <c r="E166">
        <f t="shared" ca="1" si="42"/>
        <v>2.0259891258649528E-2</v>
      </c>
      <c r="F166">
        <f t="shared" ca="1" si="43"/>
        <v>-8.5900834572914656E-2</v>
      </c>
      <c r="G166">
        <f t="shared" ca="1" si="44"/>
        <v>-3.2820471657132561E-2</v>
      </c>
      <c r="H166" t="str">
        <f t="shared" si="45"/>
        <v>0-0.05</v>
      </c>
      <c r="I166">
        <f t="shared" ca="1" si="39"/>
        <v>1.5079480497092906E-2</v>
      </c>
      <c r="J166">
        <f t="shared" ca="1" si="40"/>
        <v>1.3589724430909689E-2</v>
      </c>
      <c r="K166">
        <f t="shared" si="41"/>
        <v>4.5000000000000005E-3</v>
      </c>
    </row>
    <row r="167" spans="1:11" x14ac:dyDescent="0.35">
      <c r="A167" t="s">
        <v>265</v>
      </c>
      <c r="B167" t="s">
        <v>266</v>
      </c>
      <c r="C167">
        <v>1.6</v>
      </c>
      <c r="D167" t="s">
        <v>154</v>
      </c>
      <c r="E167">
        <f t="shared" ca="1" si="42"/>
        <v>-8.2735152486425618E-3</v>
      </c>
      <c r="F167">
        <f t="shared" ca="1" si="43"/>
        <v>-4.8296335152473356E-2</v>
      </c>
      <c r="G167">
        <f t="shared" ca="1" si="44"/>
        <v>-2.8284925200557958E-2</v>
      </c>
      <c r="H167" t="str">
        <f t="shared" si="45"/>
        <v>0.5-5</v>
      </c>
      <c r="I167">
        <f t="shared" ca="1" si="39"/>
        <v>5.3931723265248477E-2</v>
      </c>
      <c r="J167">
        <f t="shared" ca="1" si="40"/>
        <v>5.7199395307795192E-2</v>
      </c>
      <c r="K167">
        <f t="shared" si="41"/>
        <v>2.9999999999999997E-4</v>
      </c>
    </row>
    <row r="168" spans="1:11" x14ac:dyDescent="0.35">
      <c r="A168" t="s">
        <v>253</v>
      </c>
      <c r="B168" t="s">
        <v>254</v>
      </c>
      <c r="C168">
        <v>4.41E-2</v>
      </c>
      <c r="D168" t="s">
        <v>32</v>
      </c>
      <c r="E168">
        <f t="shared" ca="1" si="42"/>
        <v>4.6252224495519315E-2</v>
      </c>
      <c r="F168">
        <f t="shared" ca="1" si="43"/>
        <v>2.2919563771922315E-2</v>
      </c>
      <c r="G168">
        <f t="shared" ca="1" si="44"/>
        <v>3.4585894133720818E-2</v>
      </c>
      <c r="H168" t="str">
        <f t="shared" si="45"/>
        <v>0-0.05</v>
      </c>
      <c r="I168">
        <f t="shared" ca="1" si="39"/>
        <v>5.4479865952762843E-2</v>
      </c>
      <c r="J168">
        <f t="shared" ca="1" si="40"/>
        <v>5.0829806349335753E-2</v>
      </c>
      <c r="K168">
        <f t="shared" si="41"/>
        <v>6.1999999999999998E-3</v>
      </c>
    </row>
    <row r="169" spans="1:11" x14ac:dyDescent="0.35">
      <c r="A169" t="s">
        <v>143</v>
      </c>
      <c r="B169" t="s">
        <v>144</v>
      </c>
      <c r="C169">
        <v>5.9470000000000002E-2</v>
      </c>
      <c r="D169" t="s">
        <v>145</v>
      </c>
      <c r="E169">
        <f t="shared" ca="1" si="42"/>
        <v>2.8996226696936776E-2</v>
      </c>
      <c r="F169">
        <f t="shared" ca="1" si="43"/>
        <v>4.5622415457710931E-2</v>
      </c>
      <c r="G169">
        <f t="shared" ca="1" si="44"/>
        <v>3.7309321077323855E-2</v>
      </c>
      <c r="H169" t="str">
        <f t="shared" si="45"/>
        <v>0.05-0.5</v>
      </c>
      <c r="I169">
        <f t="shared" ca="1" si="39"/>
        <v>1.6811955854518408</v>
      </c>
      <c r="J169">
        <f t="shared" ca="1" si="40"/>
        <v>1.5868709985954916</v>
      </c>
      <c r="K169">
        <f t="shared" si="41"/>
        <v>1.8E-3</v>
      </c>
    </row>
    <row r="170" spans="1:11" x14ac:dyDescent="0.35">
      <c r="A170" t="s">
        <v>236</v>
      </c>
      <c r="B170" t="s">
        <v>237</v>
      </c>
      <c r="C170">
        <v>2.5230000000000001E-3</v>
      </c>
      <c r="D170" t="s">
        <v>238</v>
      </c>
      <c r="E170">
        <f t="shared" ca="1" si="42"/>
        <v>4.8537653670479998E-2</v>
      </c>
      <c r="F170">
        <f t="shared" ca="1" si="43"/>
        <v>-7.6902695498581503E-2</v>
      </c>
      <c r="G170">
        <f t="shared" ca="1" si="44"/>
        <v>-1.4182520914050752E-2</v>
      </c>
      <c r="H170" t="str">
        <f t="shared" si="45"/>
        <v>0-0.05</v>
      </c>
      <c r="I170">
        <f t="shared" ca="1" si="39"/>
        <v>4.3111894191743952E-2</v>
      </c>
      <c r="J170">
        <f t="shared" ca="1" si="40"/>
        <v>4.6238639955593609E-2</v>
      </c>
      <c r="K170">
        <f t="shared" si="41"/>
        <v>9.5999999999999992E-3</v>
      </c>
    </row>
    <row r="171" spans="1:11" x14ac:dyDescent="0.35">
      <c r="A171" t="s">
        <v>350</v>
      </c>
      <c r="B171" t="s">
        <v>351</v>
      </c>
      <c r="C171">
        <v>9.0029999999999999E-2</v>
      </c>
      <c r="D171" t="s">
        <v>293</v>
      </c>
      <c r="E171">
        <f t="shared" ca="1" si="42"/>
        <v>4.7450537881762865E-2</v>
      </c>
      <c r="F171">
        <f t="shared" ca="1" si="43"/>
        <v>3.6977377545354483E-2</v>
      </c>
      <c r="G171">
        <f t="shared" ca="1" si="44"/>
        <v>4.2213957713558674E-2</v>
      </c>
      <c r="H171" t="str">
        <f t="shared" si="45"/>
        <v>0.05-0.5</v>
      </c>
      <c r="I171">
        <f t="shared" ca="1" si="39"/>
        <v>5.6875215298409221E-2</v>
      </c>
      <c r="J171">
        <f t="shared" ca="1" si="40"/>
        <v>6.1245900000677568E-2</v>
      </c>
      <c r="K171">
        <f t="shared" si="41"/>
        <v>2.0000000000000001E-4</v>
      </c>
    </row>
    <row r="172" spans="1:11" x14ac:dyDescent="0.35">
      <c r="A172" t="s">
        <v>269</v>
      </c>
      <c r="B172" t="s">
        <v>270</v>
      </c>
      <c r="C172">
        <v>7.5079999999999994E-2</v>
      </c>
      <c r="D172" t="s">
        <v>163</v>
      </c>
      <c r="E172">
        <f t="shared" ca="1" si="42"/>
        <v>2.5700773735644642E-2</v>
      </c>
      <c r="F172">
        <f t="shared" ca="1" si="43"/>
        <v>4.8721769998644845E-2</v>
      </c>
      <c r="G172">
        <f t="shared" ca="1" si="44"/>
        <v>3.7211271867144742E-2</v>
      </c>
      <c r="H172" t="str">
        <f t="shared" si="45"/>
        <v>0.05-0.5</v>
      </c>
      <c r="I172">
        <f t="shared" ca="1" si="39"/>
        <v>2.7331896515099432E-3</v>
      </c>
      <c r="J172">
        <f t="shared" ca="1" si="40"/>
        <v>2.6517076684464077E-3</v>
      </c>
      <c r="K172">
        <f t="shared" si="41"/>
        <v>1.24E-2</v>
      </c>
    </row>
    <row r="173" spans="1:11" x14ac:dyDescent="0.35">
      <c r="A173" t="s">
        <v>63</v>
      </c>
      <c r="B173" t="s">
        <v>64</v>
      </c>
      <c r="C173">
        <v>4.45</v>
      </c>
      <c r="D173" t="s">
        <v>62</v>
      </c>
      <c r="E173">
        <f t="shared" ca="1" si="42"/>
        <v>-3.5775754113645392E-2</v>
      </c>
      <c r="F173">
        <f t="shared" ca="1" si="43"/>
        <v>-4.5326207183165233E-2</v>
      </c>
      <c r="G173">
        <f t="shared" ca="1" si="44"/>
        <v>-4.0550980648405316E-2</v>
      </c>
      <c r="H173" t="str">
        <f t="shared" si="45"/>
        <v>0.5-5</v>
      </c>
      <c r="I173">
        <f t="shared" ca="1" si="39"/>
        <v>8.6819637486317616E-2</v>
      </c>
      <c r="J173">
        <f t="shared" ca="1" si="40"/>
        <v>9.4514777006744918E-2</v>
      </c>
      <c r="K173">
        <f t="shared" si="41"/>
        <v>2.2000000000000001E-3</v>
      </c>
    </row>
    <row r="174" spans="1:11" x14ac:dyDescent="0.35">
      <c r="A174" t="s">
        <v>480</v>
      </c>
      <c r="B174" t="s">
        <v>481</v>
      </c>
      <c r="C174">
        <v>3.8420000000000001E-4</v>
      </c>
      <c r="D174" t="s">
        <v>80</v>
      </c>
      <c r="E174">
        <f t="shared" ca="1" si="42"/>
        <v>-2.5798163761000528E-4</v>
      </c>
      <c r="F174">
        <f t="shared" ca="1" si="43"/>
        <v>-6.3540331238828365E-2</v>
      </c>
      <c r="G174">
        <f t="shared" ca="1" si="44"/>
        <v>-3.1899156438219188E-2</v>
      </c>
      <c r="H174" t="str">
        <f t="shared" si="45"/>
        <v>0-0.05</v>
      </c>
      <c r="I174">
        <f t="shared" ca="1" si="39"/>
        <v>7.1591915175077375E-2</v>
      </c>
      <c r="J174">
        <f t="shared" ca="1" si="40"/>
        <v>7.7060514856273354E-2</v>
      </c>
      <c r="K174">
        <f t="shared" si="41"/>
        <v>7.000000000000001E-4</v>
      </c>
    </row>
    <row r="175" spans="1:11" x14ac:dyDescent="0.35">
      <c r="A175" t="s">
        <v>183</v>
      </c>
      <c r="B175" t="s">
        <v>184</v>
      </c>
      <c r="C175">
        <v>1.245E-3</v>
      </c>
      <c r="D175" t="s">
        <v>185</v>
      </c>
      <c r="E175">
        <f t="shared" ca="1" si="42"/>
        <v>1.5109656899559109E-2</v>
      </c>
      <c r="F175">
        <f t="shared" ca="1" si="43"/>
        <v>-4.5266409846965852E-2</v>
      </c>
      <c r="G175">
        <f t="shared" ca="1" si="44"/>
        <v>-1.5078376473703373E-2</v>
      </c>
      <c r="H175" t="str">
        <f t="shared" si="45"/>
        <v>0-0.05</v>
      </c>
      <c r="I175">
        <f t="shared" ca="1" si="39"/>
        <v>4.6612780548525903</v>
      </c>
      <c r="J175">
        <f t="shared" ca="1" si="40"/>
        <v>4.2962967440843816</v>
      </c>
      <c r="K175">
        <f t="shared" si="41"/>
        <v>1E-4</v>
      </c>
    </row>
    <row r="176" spans="1:11" x14ac:dyDescent="0.35">
      <c r="A176" t="s">
        <v>164</v>
      </c>
      <c r="B176" t="s">
        <v>165</v>
      </c>
      <c r="C176">
        <v>5.1249999999999999E-5</v>
      </c>
      <c r="D176" t="s">
        <v>166</v>
      </c>
      <c r="E176">
        <f t="shared" ca="1" si="42"/>
        <v>-3.0851627943541533E-2</v>
      </c>
      <c r="F176">
        <f t="shared" ca="1" si="43"/>
        <v>5.125991312034138E-2</v>
      </c>
      <c r="G176">
        <f t="shared" ca="1" si="44"/>
        <v>1.0204142588399924E-2</v>
      </c>
      <c r="H176" t="str">
        <f t="shared" si="45"/>
        <v>0-0.05</v>
      </c>
      <c r="I176">
        <f t="shared" ref="I176:I201" ca="1" si="46">C174/(1+F174)</f>
        <v>4.1026860292686434E-4</v>
      </c>
      <c r="J176">
        <f t="shared" ref="J176:J201" ca="1" si="47">C174/(1-E174)</f>
        <v>3.8410090901848392E-4</v>
      </c>
      <c r="K176">
        <f t="shared" ref="K176:K201" si="48">VALUE(SUBSTITUTE(D174,"%",""))/100</f>
        <v>0</v>
      </c>
    </row>
    <row r="177" spans="1:11" x14ac:dyDescent="0.35">
      <c r="A177" t="s">
        <v>140</v>
      </c>
      <c r="B177" t="s">
        <v>141</v>
      </c>
      <c r="C177">
        <v>4.2049999999999997E-2</v>
      </c>
      <c r="D177" t="s">
        <v>142</v>
      </c>
      <c r="E177">
        <f t="shared" ca="1" si="42"/>
        <v>1.8897661526517041E-2</v>
      </c>
      <c r="F177">
        <f t="shared" ca="1" si="43"/>
        <v>-3.5752991870221483E-3</v>
      </c>
      <c r="G177">
        <f t="shared" ca="1" si="44"/>
        <v>7.6611811697474465E-3</v>
      </c>
      <c r="H177" t="str">
        <f t="shared" si="45"/>
        <v>0-0.05</v>
      </c>
      <c r="I177">
        <f t="shared" ca="1" si="46"/>
        <v>1.3040286974719713E-3</v>
      </c>
      <c r="J177">
        <f t="shared" ca="1" si="47"/>
        <v>1.2641001190860826E-3</v>
      </c>
      <c r="K177">
        <f t="shared" si="48"/>
        <v>2.5000000000000001E-3</v>
      </c>
    </row>
    <row r="178" spans="1:11" x14ac:dyDescent="0.35">
      <c r="A178" t="s">
        <v>316</v>
      </c>
      <c r="B178" t="s">
        <v>317</v>
      </c>
      <c r="C178">
        <v>9.4009999999999996E-3</v>
      </c>
      <c r="D178" t="s">
        <v>318</v>
      </c>
      <c r="E178">
        <f t="shared" ca="1" si="42"/>
        <v>-6.9467420600415157E-3</v>
      </c>
      <c r="F178">
        <f t="shared" ca="1" si="43"/>
        <v>7.3098023798995437E-2</v>
      </c>
      <c r="G178">
        <f t="shared" ca="1" si="44"/>
        <v>3.3075640869476959E-2</v>
      </c>
      <c r="H178" t="str">
        <f t="shared" si="45"/>
        <v>0-0.05</v>
      </c>
      <c r="I178">
        <f t="shared" ca="1" si="46"/>
        <v>4.8751026611373547E-5</v>
      </c>
      <c r="J178">
        <f t="shared" ca="1" si="47"/>
        <v>4.9716175064145021E-5</v>
      </c>
      <c r="K178">
        <f t="shared" si="48"/>
        <v>5.6999999999999993E-3</v>
      </c>
    </row>
    <row r="179" spans="1:11" x14ac:dyDescent="0.35">
      <c r="A179" t="s">
        <v>217</v>
      </c>
      <c r="B179" t="s">
        <v>218</v>
      </c>
      <c r="C179">
        <v>8.3759999999999998E-3</v>
      </c>
      <c r="D179" t="s">
        <v>219</v>
      </c>
      <c r="E179">
        <f t="shared" ca="1" si="42"/>
        <v>5.0158928494839668E-2</v>
      </c>
      <c r="F179">
        <f t="shared" ca="1" si="43"/>
        <v>-2.7436833054095319E-2</v>
      </c>
      <c r="G179">
        <f t="shared" ca="1" si="44"/>
        <v>1.1361047720372174E-2</v>
      </c>
      <c r="H179" t="str">
        <f t="shared" si="45"/>
        <v>0-0.05</v>
      </c>
      <c r="I179">
        <f t="shared" ca="1" si="46"/>
        <v>4.2200880774725495E-2</v>
      </c>
      <c r="J179">
        <f t="shared" ca="1" si="47"/>
        <v>4.2859952882618187E-2</v>
      </c>
      <c r="K179">
        <f t="shared" si="48"/>
        <v>2.4399999999999998E-2</v>
      </c>
    </row>
    <row r="180" spans="1:11" x14ac:dyDescent="0.35">
      <c r="A180" t="s">
        <v>398</v>
      </c>
      <c r="B180" t="s">
        <v>399</v>
      </c>
      <c r="C180">
        <v>8.03E-4</v>
      </c>
      <c r="D180" t="s">
        <v>145</v>
      </c>
      <c r="E180">
        <f t="shared" ca="1" si="42"/>
        <v>5.928423260846593E-3</v>
      </c>
      <c r="F180">
        <f t="shared" ca="1" si="43"/>
        <v>5.8809183390522525E-2</v>
      </c>
      <c r="G180">
        <f t="shared" ca="1" si="44"/>
        <v>3.2368803325684557E-2</v>
      </c>
      <c r="H180" t="str">
        <f t="shared" si="45"/>
        <v>0-0.05</v>
      </c>
      <c r="I180">
        <f t="shared" ca="1" si="46"/>
        <v>8.7606162638511412E-3</v>
      </c>
      <c r="J180">
        <f t="shared" ca="1" si="47"/>
        <v>9.3361442143078538E-3</v>
      </c>
      <c r="K180">
        <f t="shared" si="48"/>
        <v>1.8000000000000002E-2</v>
      </c>
    </row>
    <row r="181" spans="1:11" x14ac:dyDescent="0.35">
      <c r="A181" t="s">
        <v>444</v>
      </c>
      <c r="B181" t="s">
        <v>445</v>
      </c>
      <c r="C181">
        <v>0.73839999999999995</v>
      </c>
      <c r="D181" t="s">
        <v>410</v>
      </c>
      <c r="E181">
        <f t="shared" ca="1" si="42"/>
        <v>-4.2679369348085743E-2</v>
      </c>
      <c r="F181">
        <f t="shared" ca="1" si="43"/>
        <v>-1.9127677705382807E-2</v>
      </c>
      <c r="G181">
        <f t="shared" ca="1" si="44"/>
        <v>-3.0903523526734276E-2</v>
      </c>
      <c r="H181" t="str">
        <f t="shared" si="45"/>
        <v>0.5-5</v>
      </c>
      <c r="I181">
        <f t="shared" ca="1" si="46"/>
        <v>8.6122940747414556E-3</v>
      </c>
      <c r="J181">
        <f t="shared" ca="1" si="47"/>
        <v>8.8183173493719524E-3</v>
      </c>
      <c r="K181">
        <f t="shared" si="48"/>
        <v>4.2699999999999995E-2</v>
      </c>
    </row>
    <row r="182" spans="1:11" x14ac:dyDescent="0.35">
      <c r="A182" t="s">
        <v>453</v>
      </c>
      <c r="B182" t="s">
        <v>454</v>
      </c>
      <c r="C182">
        <v>1.5070000000000001E-3</v>
      </c>
      <c r="D182" t="s">
        <v>23</v>
      </c>
      <c r="E182">
        <f t="shared" ca="1" si="42"/>
        <v>2.0960116722743685E-2</v>
      </c>
      <c r="F182">
        <f t="shared" ca="1" si="43"/>
        <v>4.3386096179829213E-2</v>
      </c>
      <c r="G182">
        <f t="shared" ca="1" si="44"/>
        <v>3.2173106451286446E-2</v>
      </c>
      <c r="H182" t="str">
        <f t="shared" si="45"/>
        <v>0-0.05</v>
      </c>
      <c r="I182">
        <f t="shared" ca="1" si="46"/>
        <v>7.5839916445438315E-4</v>
      </c>
      <c r="J182">
        <f t="shared" ca="1" si="47"/>
        <v>8.0778891459111599E-4</v>
      </c>
      <c r="K182">
        <f t="shared" si="48"/>
        <v>2.0000000000000001E-4</v>
      </c>
    </row>
    <row r="183" spans="1:11" x14ac:dyDescent="0.35">
      <c r="A183" t="s">
        <v>279</v>
      </c>
      <c r="B183" t="s">
        <v>280</v>
      </c>
      <c r="C183">
        <v>0.18229999999999999</v>
      </c>
      <c r="D183" t="s">
        <v>62</v>
      </c>
      <c r="E183">
        <f t="shared" ca="1" si="42"/>
        <v>2.5150797794523869E-2</v>
      </c>
      <c r="F183">
        <f t="shared" ca="1" si="43"/>
        <v>1.6328803864255937E-2</v>
      </c>
      <c r="G183">
        <f t="shared" ca="1" si="44"/>
        <v>2.0739800829389903E-2</v>
      </c>
      <c r="H183" t="str">
        <f t="shared" si="45"/>
        <v>0.05-0.5</v>
      </c>
      <c r="I183">
        <f t="shared" ca="1" si="46"/>
        <v>0.75279930243379045</v>
      </c>
      <c r="J183">
        <f t="shared" ca="1" si="47"/>
        <v>0.70817551560617298</v>
      </c>
      <c r="K183">
        <f t="shared" si="48"/>
        <v>8.9999999999999998E-4</v>
      </c>
    </row>
    <row r="184" spans="1:11" x14ac:dyDescent="0.35">
      <c r="A184" t="s">
        <v>473</v>
      </c>
      <c r="B184" t="s">
        <v>474</v>
      </c>
      <c r="C184">
        <v>7.5139999999999998E-2</v>
      </c>
      <c r="D184" t="s">
        <v>62</v>
      </c>
      <c r="E184">
        <f t="shared" ca="1" si="42"/>
        <v>1.6549696179951123E-2</v>
      </c>
      <c r="F184">
        <f t="shared" ca="1" si="43"/>
        <v>-3.1849732177017392E-2</v>
      </c>
      <c r="G184">
        <f t="shared" ca="1" si="44"/>
        <v>-7.6500179985331349E-3</v>
      </c>
      <c r="H184" t="str">
        <f t="shared" si="45"/>
        <v>0.05-0.5</v>
      </c>
      <c r="I184">
        <f t="shared" ca="1" si="46"/>
        <v>1.4443359035716597E-3</v>
      </c>
      <c r="J184">
        <f t="shared" ca="1" si="47"/>
        <v>1.5392631349761159E-3</v>
      </c>
      <c r="K184">
        <f t="shared" si="48"/>
        <v>2.9999999999999997E-4</v>
      </c>
    </row>
    <row r="185" spans="1:11" x14ac:dyDescent="0.35">
      <c r="A185" t="s">
        <v>403</v>
      </c>
      <c r="B185" t="s">
        <v>404</v>
      </c>
      <c r="C185">
        <v>0.17610000000000001</v>
      </c>
      <c r="D185" t="s">
        <v>405</v>
      </c>
      <c r="E185">
        <f t="shared" ca="1" si="42"/>
        <v>5.849400804761859E-2</v>
      </c>
      <c r="F185">
        <f t="shared" ca="1" si="43"/>
        <v>4.583882505517986E-2</v>
      </c>
      <c r="G185">
        <f t="shared" ca="1" si="44"/>
        <v>5.2166416551399225E-2</v>
      </c>
      <c r="H185" t="str">
        <f t="shared" si="45"/>
        <v>0.05-0.5</v>
      </c>
      <c r="I185">
        <f t="shared" ca="1" si="46"/>
        <v>0.17937108473838803</v>
      </c>
      <c r="J185">
        <f t="shared" ca="1" si="47"/>
        <v>0.18700328172559275</v>
      </c>
      <c r="K185">
        <f t="shared" si="48"/>
        <v>1E-4</v>
      </c>
    </row>
    <row r="186" spans="1:11" x14ac:dyDescent="0.35">
      <c r="A186" t="s">
        <v>186</v>
      </c>
      <c r="B186" t="s">
        <v>187</v>
      </c>
      <c r="C186">
        <v>1.4970000000000001E-2</v>
      </c>
      <c r="D186" t="s">
        <v>14</v>
      </c>
      <c r="E186">
        <f t="shared" ca="1" si="42"/>
        <v>-1.4997956468286612E-2</v>
      </c>
      <c r="F186">
        <f t="shared" ca="1" si="43"/>
        <v>8.3825215743242414E-3</v>
      </c>
      <c r="G186">
        <f t="shared" ca="1" si="44"/>
        <v>-3.3077174469811855E-3</v>
      </c>
      <c r="H186" t="str">
        <f t="shared" si="45"/>
        <v>0-0.05</v>
      </c>
      <c r="I186">
        <f t="shared" ca="1" si="46"/>
        <v>7.7611918828429896E-2</v>
      </c>
      <c r="J186">
        <f t="shared" ca="1" si="47"/>
        <v>7.6404470778168643E-2</v>
      </c>
      <c r="K186">
        <f t="shared" si="48"/>
        <v>1E-4</v>
      </c>
    </row>
    <row r="187" spans="1:11" x14ac:dyDescent="0.35">
      <c r="A187" t="s">
        <v>239</v>
      </c>
      <c r="B187" t="s">
        <v>240</v>
      </c>
      <c r="C187">
        <v>3.288E-2</v>
      </c>
      <c r="D187" t="s">
        <v>62</v>
      </c>
      <c r="E187">
        <f t="shared" ca="1" si="42"/>
        <v>1.2227609657045523E-2</v>
      </c>
      <c r="F187">
        <f t="shared" ca="1" si="43"/>
        <v>-2.0382580379938422E-2</v>
      </c>
      <c r="G187">
        <f t="shared" ca="1" si="44"/>
        <v>-4.0774853614464496E-3</v>
      </c>
      <c r="H187" t="str">
        <f t="shared" si="45"/>
        <v>0-0.05</v>
      </c>
      <c r="I187">
        <f t="shared" ca="1" si="46"/>
        <v>0.16838158593960093</v>
      </c>
      <c r="J187">
        <f t="shared" ca="1" si="47"/>
        <v>0.18704076395183114</v>
      </c>
      <c r="K187">
        <f t="shared" si="48"/>
        <v>3.3399999999999999E-2</v>
      </c>
    </row>
    <row r="188" spans="1:11" x14ac:dyDescent="0.35">
      <c r="A188" t="s">
        <v>281</v>
      </c>
      <c r="B188" t="s">
        <v>282</v>
      </c>
      <c r="C188">
        <v>4.9510000000000005E-4</v>
      </c>
      <c r="D188" t="s">
        <v>283</v>
      </c>
      <c r="E188">
        <f t="shared" ca="1" si="42"/>
        <v>1.3646349291964899E-2</v>
      </c>
      <c r="F188">
        <f t="shared" ca="1" si="43"/>
        <v>-2.9786265089096341E-2</v>
      </c>
      <c r="G188">
        <f t="shared" ca="1" si="44"/>
        <v>-8.069957898565721E-3</v>
      </c>
      <c r="H188" t="str">
        <f t="shared" si="45"/>
        <v>0-0.05</v>
      </c>
      <c r="I188">
        <f t="shared" ca="1" si="46"/>
        <v>1.4845556799842464E-2</v>
      </c>
      <c r="J188">
        <f t="shared" ca="1" si="47"/>
        <v>1.474879816712984E-2</v>
      </c>
      <c r="K188">
        <f t="shared" si="48"/>
        <v>4.0000000000000002E-4</v>
      </c>
    </row>
    <row r="189" spans="1:11" x14ac:dyDescent="0.35">
      <c r="A189" t="s">
        <v>30</v>
      </c>
      <c r="B189" t="s">
        <v>31</v>
      </c>
      <c r="C189">
        <v>0.58079999999999998</v>
      </c>
      <c r="D189" t="s">
        <v>32</v>
      </c>
      <c r="E189">
        <f t="shared" ca="1" si="42"/>
        <v>1.4393376908234348E-2</v>
      </c>
      <c r="F189">
        <f t="shared" ca="1" si="43"/>
        <v>-7.3581964220709867E-2</v>
      </c>
      <c r="G189">
        <f t="shared" ca="1" si="44"/>
        <v>-2.9594293656237759E-2</v>
      </c>
      <c r="H189" t="str">
        <f t="shared" si="45"/>
        <v>0.5-5</v>
      </c>
      <c r="I189">
        <f t="shared" ca="1" si="46"/>
        <v>3.3564123443979077E-2</v>
      </c>
      <c r="J189">
        <f t="shared" ca="1" si="47"/>
        <v>3.3287020695713175E-2</v>
      </c>
      <c r="K189">
        <f t="shared" si="48"/>
        <v>1E-4</v>
      </c>
    </row>
    <row r="190" spans="1:11" x14ac:dyDescent="0.35">
      <c r="A190" t="s">
        <v>243</v>
      </c>
      <c r="B190" t="s">
        <v>244</v>
      </c>
      <c r="C190">
        <v>5.1970000000000002E-2</v>
      </c>
      <c r="D190" t="s">
        <v>245</v>
      </c>
      <c r="E190">
        <f t="shared" ca="1" si="42"/>
        <v>-4.2748276397090897E-4</v>
      </c>
      <c r="F190">
        <f t="shared" ca="1" si="43"/>
        <v>1.5802808494506895E-2</v>
      </c>
      <c r="G190">
        <f t="shared" ca="1" si="44"/>
        <v>7.6876628652679932E-3</v>
      </c>
      <c r="H190" t="str">
        <f t="shared" si="45"/>
        <v>0.05-0.5</v>
      </c>
      <c r="I190">
        <f t="shared" ca="1" si="46"/>
        <v>5.1029992895891736E-4</v>
      </c>
      <c r="J190">
        <f t="shared" ca="1" si="47"/>
        <v>5.0194978205291983E-4</v>
      </c>
      <c r="K190">
        <f t="shared" si="48"/>
        <v>4.0500000000000001E-2</v>
      </c>
    </row>
    <row r="191" spans="1:11" x14ac:dyDescent="0.35">
      <c r="A191" t="s">
        <v>54</v>
      </c>
      <c r="B191" t="s">
        <v>55</v>
      </c>
      <c r="C191">
        <v>0.46260000000000001</v>
      </c>
      <c r="D191" t="s">
        <v>56</v>
      </c>
      <c r="E191">
        <f t="shared" ca="1" si="42"/>
        <v>-1.5031453884214022E-2</v>
      </c>
      <c r="F191">
        <f t="shared" ca="1" si="43"/>
        <v>5.3029219535533439E-2</v>
      </c>
      <c r="G191">
        <f t="shared" ca="1" si="44"/>
        <v>1.8998882825659709E-2</v>
      </c>
      <c r="H191" t="str">
        <f t="shared" si="45"/>
        <v>0.05-0.5</v>
      </c>
      <c r="I191">
        <f t="shared" ca="1" si="46"/>
        <v>0.62693079967019316</v>
      </c>
      <c r="J191">
        <f t="shared" ca="1" si="47"/>
        <v>0.5892817543961697</v>
      </c>
      <c r="K191">
        <f t="shared" si="48"/>
        <v>9.5999999999999992E-3</v>
      </c>
    </row>
    <row r="192" spans="1:11" x14ac:dyDescent="0.35">
      <c r="A192" t="s">
        <v>91</v>
      </c>
      <c r="B192" t="s">
        <v>92</v>
      </c>
      <c r="C192">
        <v>0.1336</v>
      </c>
      <c r="D192" t="s">
        <v>93</v>
      </c>
      <c r="E192">
        <f t="shared" ca="1" si="42"/>
        <v>-1.2852648388454594E-2</v>
      </c>
      <c r="F192">
        <f t="shared" ca="1" si="43"/>
        <v>6.9955656627366747E-2</v>
      </c>
      <c r="G192">
        <f t="shared" ca="1" si="44"/>
        <v>2.8551504119456075E-2</v>
      </c>
      <c r="H192" t="str">
        <f t="shared" si="45"/>
        <v>0.05-0.5</v>
      </c>
      <c r="I192">
        <f t="shared" ca="1" si="46"/>
        <v>5.1161504541440764E-2</v>
      </c>
      <c r="J192">
        <f t="shared" ca="1" si="47"/>
        <v>5.1947793213774782E-2</v>
      </c>
      <c r="K192">
        <f t="shared" si="48"/>
        <v>1.04E-2</v>
      </c>
    </row>
    <row r="193" spans="1:11" x14ac:dyDescent="0.35">
      <c r="A193" t="s">
        <v>42</v>
      </c>
      <c r="B193" t="s">
        <v>43</v>
      </c>
      <c r="C193">
        <v>0.54430000000000001</v>
      </c>
      <c r="D193" t="s">
        <v>44</v>
      </c>
      <c r="E193">
        <f t="shared" ca="1" si="42"/>
        <v>-6.2862007369841443E-3</v>
      </c>
      <c r="F193">
        <f t="shared" ca="1" si="43"/>
        <v>-7.805198292340583E-2</v>
      </c>
      <c r="G193">
        <f t="shared" ca="1" si="44"/>
        <v>-4.2169091830194988E-2</v>
      </c>
      <c r="H193" t="str">
        <f t="shared" si="45"/>
        <v>0.5-5</v>
      </c>
      <c r="I193">
        <f t="shared" ca="1" si="46"/>
        <v>0.4393040491355425</v>
      </c>
      <c r="J193">
        <f t="shared" ca="1" si="47"/>
        <v>0.45574942355704517</v>
      </c>
      <c r="K193">
        <f t="shared" si="48"/>
        <v>3.0499999999999999E-2</v>
      </c>
    </row>
    <row r="194" spans="1:11" x14ac:dyDescent="0.35">
      <c r="A194" t="s">
        <v>431</v>
      </c>
      <c r="B194" t="s">
        <v>432</v>
      </c>
      <c r="C194">
        <v>5.2623999999999997E-2</v>
      </c>
      <c r="D194" t="s">
        <v>14</v>
      </c>
      <c r="E194">
        <f t="shared" ca="1" si="42"/>
        <v>1.3305313324217204E-2</v>
      </c>
      <c r="F194">
        <f t="shared" ca="1" si="43"/>
        <v>-6.8870659450741556E-2</v>
      </c>
      <c r="G194">
        <f t="shared" ca="1" si="44"/>
        <v>-2.7782673063262174E-2</v>
      </c>
      <c r="H194" t="str">
        <f t="shared" si="45"/>
        <v>0.05-0.5</v>
      </c>
      <c r="I194">
        <f t="shared" ca="1" si="46"/>
        <v>0.1248649877894228</v>
      </c>
      <c r="J194">
        <f t="shared" ca="1" si="47"/>
        <v>0.13190467558392663</v>
      </c>
      <c r="K194">
        <f t="shared" si="48"/>
        <v>3.2000000000000002E-3</v>
      </c>
    </row>
    <row r="195" spans="1:11" x14ac:dyDescent="0.35">
      <c r="A195" t="s">
        <v>505</v>
      </c>
      <c r="B195" t="s">
        <v>506</v>
      </c>
      <c r="C195">
        <v>1.532E-2</v>
      </c>
      <c r="D195" t="s">
        <v>507</v>
      </c>
      <c r="E195">
        <f t="shared" ca="1" si="42"/>
        <v>1.4570826636301064E-2</v>
      </c>
      <c r="F195">
        <f t="shared" ca="1" si="43"/>
        <v>3.5442103376157053E-2</v>
      </c>
      <c r="G195">
        <f t="shared" ca="1" si="44"/>
        <v>2.5006465006229057E-2</v>
      </c>
      <c r="H195" t="str">
        <f t="shared" si="45"/>
        <v>0-0.05</v>
      </c>
      <c r="I195">
        <f t="shared" ca="1" si="46"/>
        <v>0.59038035758883822</v>
      </c>
      <c r="J195">
        <f t="shared" ca="1" si="47"/>
        <v>0.54089979530809962</v>
      </c>
      <c r="K195">
        <f t="shared" si="48"/>
        <v>8.199999999999999E-3</v>
      </c>
    </row>
    <row r="196" spans="1:11" x14ac:dyDescent="0.35">
      <c r="A196" t="s">
        <v>76</v>
      </c>
      <c r="B196" t="s">
        <v>77</v>
      </c>
      <c r="C196">
        <v>1.0900000000000001</v>
      </c>
      <c r="D196" t="s">
        <v>23</v>
      </c>
      <c r="E196">
        <f t="shared" ref="E196:E201" ca="1" si="49">D196 + (RAND()-0.5)/10</f>
        <v>1.404781427069327E-2</v>
      </c>
      <c r="F196">
        <f t="shared" ref="F196:F201" ca="1" si="50">D196 + (RAND()-0.5)/5</f>
        <v>5.2113340472615725E-2</v>
      </c>
      <c r="G196">
        <f t="shared" ref="G196:G201" ca="1" si="51">AVERAGE(D196,E196,F196)</f>
        <v>3.3080577371654499E-2</v>
      </c>
      <c r="H196" t="str">
        <f t="shared" ref="H196:H201" si="52">IF(C196&lt;=0.05,"0-0.05",
IF(C196&lt;=0.5,"0.05-0.5",
IF(C196&lt;=5,"0.5-5",
IF(C196&lt;=50,"5-50","&gt;50"))))</f>
        <v>0.5-5</v>
      </c>
      <c r="I196">
        <f t="shared" ca="1" si="46"/>
        <v>5.6516315949144011E-2</v>
      </c>
      <c r="J196">
        <f t="shared" ca="1" si="47"/>
        <v>5.3333620531891723E-2</v>
      </c>
      <c r="K196">
        <f t="shared" si="48"/>
        <v>4.0000000000000002E-4</v>
      </c>
    </row>
    <row r="197" spans="1:11" x14ac:dyDescent="0.35">
      <c r="A197" t="s">
        <v>345</v>
      </c>
      <c r="B197" t="s">
        <v>346</v>
      </c>
      <c r="C197">
        <v>3.9579999999999997E-2</v>
      </c>
      <c r="D197" t="s">
        <v>347</v>
      </c>
      <c r="E197">
        <f t="shared" ca="1" si="49"/>
        <v>2.8890687853797684E-2</v>
      </c>
      <c r="F197">
        <f t="shared" ca="1" si="50"/>
        <v>-5.1152355760493692E-2</v>
      </c>
      <c r="G197">
        <f t="shared" ca="1" si="51"/>
        <v>-1.1130833953348004E-2</v>
      </c>
      <c r="H197" t="str">
        <f t="shared" si="52"/>
        <v>0-0.05</v>
      </c>
      <c r="I197">
        <f t="shared" ca="1" si="46"/>
        <v>1.4795612376633795E-2</v>
      </c>
      <c r="J197">
        <f t="shared" ca="1" si="47"/>
        <v>1.5546525731226495E-2</v>
      </c>
      <c r="K197">
        <f t="shared" si="48"/>
        <v>2.06E-2</v>
      </c>
    </row>
    <row r="198" spans="1:11" x14ac:dyDescent="0.35">
      <c r="A198" t="s">
        <v>51</v>
      </c>
      <c r="B198" t="s">
        <v>52</v>
      </c>
      <c r="C198">
        <v>0.33939999999999998</v>
      </c>
      <c r="D198" t="s">
        <v>53</v>
      </c>
      <c r="E198">
        <f t="shared" ca="1" si="49"/>
        <v>4.234142996097829E-2</v>
      </c>
      <c r="F198">
        <f t="shared" ca="1" si="50"/>
        <v>2.496100148485382E-2</v>
      </c>
      <c r="G198">
        <f t="shared" ca="1" si="51"/>
        <v>3.3651215722916059E-2</v>
      </c>
      <c r="H198" t="str">
        <f t="shared" si="52"/>
        <v>0.05-0.5</v>
      </c>
      <c r="I198">
        <f t="shared" ca="1" si="46"/>
        <v>1.0360100552573219</v>
      </c>
      <c r="J198">
        <f t="shared" ca="1" si="47"/>
        <v>1.1055302841016874</v>
      </c>
      <c r="K198">
        <f t="shared" si="48"/>
        <v>2.9999999999999997E-4</v>
      </c>
    </row>
    <row r="199" spans="1:11" x14ac:dyDescent="0.35">
      <c r="A199" t="s">
        <v>446</v>
      </c>
      <c r="B199" t="s">
        <v>446</v>
      </c>
      <c r="C199">
        <v>2.032E-3</v>
      </c>
      <c r="D199" t="s">
        <v>447</v>
      </c>
      <c r="E199">
        <f t="shared" ca="1" si="49"/>
        <v>-1.4243204145171155E-2</v>
      </c>
      <c r="F199">
        <f t="shared" ca="1" si="50"/>
        <v>-1.9951586017074169E-3</v>
      </c>
      <c r="G199">
        <f t="shared" ca="1" si="51"/>
        <v>-8.1191813734392861E-3</v>
      </c>
      <c r="H199" t="str">
        <f t="shared" si="52"/>
        <v>0-0.05</v>
      </c>
      <c r="I199">
        <f t="shared" ca="1" si="46"/>
        <v>4.1713756934837573E-2</v>
      </c>
      <c r="J199">
        <f t="shared" ca="1" si="47"/>
        <v>4.0757512573456979E-2</v>
      </c>
      <c r="K199">
        <f t="shared" si="48"/>
        <v>1.9699999999999999E-2</v>
      </c>
    </row>
    <row r="200" spans="1:11" x14ac:dyDescent="0.35">
      <c r="A200" t="s">
        <v>194</v>
      </c>
      <c r="B200" t="s">
        <v>195</v>
      </c>
      <c r="C200">
        <v>2.1000000000000001E-2</v>
      </c>
      <c r="D200" t="s">
        <v>196</v>
      </c>
      <c r="E200">
        <f t="shared" ca="1" si="49"/>
        <v>5.3705935171295292E-3</v>
      </c>
      <c r="F200">
        <f t="shared" ca="1" si="50"/>
        <v>-1.8789473994564435E-2</v>
      </c>
      <c r="G200">
        <f t="shared" ca="1" si="51"/>
        <v>-6.7094402387174526E-3</v>
      </c>
      <c r="H200" t="str">
        <f t="shared" si="52"/>
        <v>0-0.05</v>
      </c>
      <c r="I200">
        <f t="shared" ca="1" si="46"/>
        <v>0.3311345500056232</v>
      </c>
      <c r="J200">
        <f t="shared" ca="1" si="47"/>
        <v>0.35440605933925956</v>
      </c>
      <c r="K200">
        <f t="shared" si="48"/>
        <v>0.01</v>
      </c>
    </row>
    <row r="201" spans="1:11" x14ac:dyDescent="0.35">
      <c r="A201" t="s">
        <v>188</v>
      </c>
      <c r="B201" t="s">
        <v>189</v>
      </c>
      <c r="C201">
        <v>2.13</v>
      </c>
      <c r="D201" t="s">
        <v>190</v>
      </c>
      <c r="E201">
        <f t="shared" ca="1" si="49"/>
        <v>-7.0034998189562828E-3</v>
      </c>
      <c r="F201">
        <f t="shared" ca="1" si="50"/>
        <v>-4.7385433059485872E-2</v>
      </c>
      <c r="G201">
        <f t="shared" ca="1" si="51"/>
        <v>-2.7194466439221077E-2</v>
      </c>
      <c r="H201" t="str">
        <f t="shared" si="52"/>
        <v>0.5-5</v>
      </c>
      <c r="I201">
        <f t="shared" ca="1" si="46"/>
        <v>2.0360622671459082E-3</v>
      </c>
      <c r="J201">
        <f t="shared" ca="1" si="47"/>
        <v>2.0034642496940553E-3</v>
      </c>
      <c r="K201">
        <f t="shared" si="48"/>
        <v>1.5600000000000001E-2</v>
      </c>
    </row>
  </sheetData>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263FC3-C439-40F7-B7E6-D933FF910716}">
  <sheetPr codeName="Sheet4"/>
  <dimension ref="A1:L201"/>
  <sheetViews>
    <sheetView topLeftCell="E1" zoomScaleNormal="100" workbookViewId="0">
      <selection activeCell="M18" sqref="M18"/>
    </sheetView>
  </sheetViews>
  <sheetFormatPr defaultRowHeight="14.5" x14ac:dyDescent="0.35"/>
  <cols>
    <col min="1" max="1" width="11.90625" customWidth="1"/>
    <col min="2" max="2" width="8.90625" customWidth="1"/>
    <col min="3" max="3" width="10.81640625" bestFit="1" customWidth="1"/>
    <col min="4" max="4" width="13.453125" customWidth="1"/>
    <col min="5" max="5" width="14.453125" customWidth="1"/>
    <col min="6" max="6" width="13.453125" customWidth="1"/>
    <col min="7" max="7" width="15.6328125" customWidth="1"/>
    <col min="8" max="8" width="12.453125" customWidth="1"/>
    <col min="11" max="11" width="8.6328125" customWidth="1"/>
    <col min="12" max="12" width="8.7265625" style="12"/>
  </cols>
  <sheetData>
    <row r="1" spans="1:12" x14ac:dyDescent="0.35">
      <c r="A1" s="1" t="s">
        <v>0</v>
      </c>
      <c r="B1" s="1" t="s">
        <v>1</v>
      </c>
      <c r="C1" s="1" t="s">
        <v>2</v>
      </c>
      <c r="D1" s="1" t="s">
        <v>3</v>
      </c>
      <c r="E1" s="1" t="s">
        <v>4</v>
      </c>
      <c r="F1" s="1" t="s">
        <v>5</v>
      </c>
      <c r="G1" s="1" t="s">
        <v>508</v>
      </c>
      <c r="H1" s="1" t="s">
        <v>509</v>
      </c>
      <c r="I1" s="1" t="s">
        <v>521</v>
      </c>
      <c r="J1" s="1" t="s">
        <v>522</v>
      </c>
      <c r="K1" s="1" t="s">
        <v>523</v>
      </c>
      <c r="L1" s="14" t="s">
        <v>524</v>
      </c>
    </row>
    <row r="2" spans="1:12" x14ac:dyDescent="0.35">
      <c r="A2" t="s">
        <v>6</v>
      </c>
      <c r="B2" t="s">
        <v>7</v>
      </c>
      <c r="C2" s="2">
        <v>104058.04</v>
      </c>
      <c r="D2" s="13">
        <v>2.3999999999999998E-3</v>
      </c>
      <c r="E2">
        <f t="shared" ref="E2:E33" ca="1" si="0">D2 + (RAND()-0.5)/10</f>
        <v>-2.065109621274204E-2</v>
      </c>
      <c r="F2">
        <f t="shared" ref="F2:F33" ca="1" si="1">D2 + (RAND()-0.5)/5</f>
        <v>-4.4401300906926823E-2</v>
      </c>
      <c r="G2">
        <f t="shared" ref="G2:G33" ca="1" si="2">AVERAGE(D2,E2,F2)</f>
        <v>-2.0884132373222952E-2</v>
      </c>
      <c r="H2" t="str">
        <f t="shared" ref="H2:H33" si="3">IF(C2&lt;=0.05,"0-0.05",
IF(C2&lt;=0.5,"0.05-0.5",
IF(C2&lt;=5,"0.5-5",
IF(C2&lt;=50,"5-50","&gt;50"))))</f>
        <v>&gt;50</v>
      </c>
      <c r="I2">
        <f t="shared" ref="I2:I33" si="4">C2/(1+D2)</f>
        <v>103808.89864325618</v>
      </c>
      <c r="J2" s="2">
        <f t="shared" ref="J2:J33" si="5">C2-I2</f>
        <v>249.14135674381396</v>
      </c>
      <c r="K2" t="str">
        <f t="shared" ref="K2:K33" si="6">IF(C2&lt;=10,"&lt;=10","&gt;=10")</f>
        <v>&gt;=10</v>
      </c>
      <c r="L2" s="12">
        <f t="shared" ref="L2:L65" si="7">VALUE(D2)</f>
        <v>2.3999999999999998E-3</v>
      </c>
    </row>
    <row r="3" spans="1:12" x14ac:dyDescent="0.35">
      <c r="A3" t="s">
        <v>9</v>
      </c>
      <c r="B3" t="s">
        <v>10</v>
      </c>
      <c r="C3" s="2">
        <v>2483.59</v>
      </c>
      <c r="D3" s="13" t="s">
        <v>11</v>
      </c>
      <c r="E3">
        <f t="shared" ca="1" si="0"/>
        <v>-3.3458461510715271E-2</v>
      </c>
      <c r="F3">
        <f t="shared" ca="1" si="1"/>
        <v>-3.9025544584362852E-2</v>
      </c>
      <c r="G3">
        <f t="shared" ca="1" si="2"/>
        <v>-3.6242003047539065E-2</v>
      </c>
      <c r="H3" t="str">
        <f t="shared" si="3"/>
        <v>&gt;50</v>
      </c>
      <c r="I3">
        <f t="shared" si="4"/>
        <v>2464.8570861452959</v>
      </c>
      <c r="J3" s="2">
        <f t="shared" si="5"/>
        <v>18.732913854704293</v>
      </c>
      <c r="K3" t="str">
        <f t="shared" si="6"/>
        <v>&gt;=10</v>
      </c>
      <c r="L3" s="12">
        <f t="shared" si="7"/>
        <v>7.6E-3</v>
      </c>
    </row>
    <row r="4" spans="1:12" x14ac:dyDescent="0.35">
      <c r="A4" t="s">
        <v>171</v>
      </c>
      <c r="B4" t="s">
        <v>172</v>
      </c>
      <c r="C4">
        <v>90.45</v>
      </c>
      <c r="D4" s="13" t="s">
        <v>173</v>
      </c>
      <c r="E4">
        <f t="shared" ca="1" si="0"/>
        <v>-7.3694278200400025E-3</v>
      </c>
      <c r="F4">
        <f t="shared" ca="1" si="1"/>
        <v>2.087004558782268E-2</v>
      </c>
      <c r="G4">
        <f t="shared" ca="1" si="2"/>
        <v>6.7503088838913386E-3</v>
      </c>
      <c r="H4" t="str">
        <f t="shared" si="3"/>
        <v>&gt;50</v>
      </c>
      <c r="I4">
        <f t="shared" si="4"/>
        <v>87.969266679634316</v>
      </c>
      <c r="J4" s="2">
        <f t="shared" si="5"/>
        <v>2.4807333203656867</v>
      </c>
      <c r="K4" t="str">
        <f t="shared" si="6"/>
        <v>&gt;=10</v>
      </c>
      <c r="L4" s="12">
        <f t="shared" si="7"/>
        <v>2.8199999999999999E-2</v>
      </c>
    </row>
    <row r="5" spans="1:12" x14ac:dyDescent="0.35">
      <c r="A5" t="s">
        <v>19</v>
      </c>
      <c r="B5" t="s">
        <v>20</v>
      </c>
      <c r="C5">
        <v>142.66999999999999</v>
      </c>
      <c r="D5" s="13" t="s">
        <v>21</v>
      </c>
      <c r="E5">
        <f t="shared" ca="1" si="0"/>
        <v>-3.5524098558481453E-2</v>
      </c>
      <c r="F5">
        <f t="shared" ca="1" si="1"/>
        <v>-4.2225677094018678E-2</v>
      </c>
      <c r="G5">
        <f t="shared" ca="1" si="2"/>
        <v>-3.8874887826250065E-2</v>
      </c>
      <c r="H5" t="str">
        <f t="shared" si="3"/>
        <v>&gt;50</v>
      </c>
      <c r="I5">
        <f t="shared" si="4"/>
        <v>141.27141301118922</v>
      </c>
      <c r="J5" s="2">
        <f t="shared" si="5"/>
        <v>1.3985869888107629</v>
      </c>
      <c r="K5" t="str">
        <f t="shared" si="6"/>
        <v>&gt;=10</v>
      </c>
      <c r="L5" s="12">
        <f t="shared" si="7"/>
        <v>9.9000000000000008E-3</v>
      </c>
    </row>
    <row r="6" spans="1:12" x14ac:dyDescent="0.35">
      <c r="A6" t="s">
        <v>17</v>
      </c>
      <c r="B6" t="s">
        <v>17</v>
      </c>
      <c r="C6">
        <v>644.79</v>
      </c>
      <c r="D6" s="13" t="s">
        <v>18</v>
      </c>
      <c r="E6">
        <f t="shared" ca="1" si="0"/>
        <v>-1.4974288628683118E-3</v>
      </c>
      <c r="F6">
        <f t="shared" ca="1" si="1"/>
        <v>1.7280580839159378E-2</v>
      </c>
      <c r="G6">
        <f t="shared" ca="1" si="2"/>
        <v>7.891575988145532E-3</v>
      </c>
      <c r="H6" t="str">
        <f t="shared" si="3"/>
        <v>&gt;50</v>
      </c>
      <c r="I6">
        <f t="shared" si="4"/>
        <v>644.14585414585417</v>
      </c>
      <c r="J6" s="2">
        <f t="shared" si="5"/>
        <v>0.64414585414579051</v>
      </c>
      <c r="K6" t="str">
        <f t="shared" si="6"/>
        <v>&gt;=10</v>
      </c>
      <c r="L6" s="12">
        <f t="shared" si="7"/>
        <v>1E-3</v>
      </c>
    </row>
    <row r="7" spans="1:12" x14ac:dyDescent="0.35">
      <c r="A7" t="s">
        <v>299</v>
      </c>
      <c r="B7" t="s">
        <v>300</v>
      </c>
      <c r="C7">
        <v>146.91999999999999</v>
      </c>
      <c r="D7" s="13" t="s">
        <v>301</v>
      </c>
      <c r="E7">
        <f t="shared" ca="1" si="0"/>
        <v>2.0478388247237255E-2</v>
      </c>
      <c r="F7">
        <f t="shared" ca="1" si="1"/>
        <v>1.5547959998563718E-3</v>
      </c>
      <c r="G7">
        <f t="shared" ca="1" si="2"/>
        <v>1.1016592123546814E-2</v>
      </c>
      <c r="H7" t="str">
        <f t="shared" si="3"/>
        <v>&gt;50</v>
      </c>
      <c r="I7">
        <f t="shared" si="4"/>
        <v>146.68530351437698</v>
      </c>
      <c r="J7" s="2">
        <f t="shared" si="5"/>
        <v>0.23469648562300449</v>
      </c>
      <c r="K7" t="str">
        <f t="shared" si="6"/>
        <v>&gt;=10</v>
      </c>
      <c r="L7" s="12">
        <f t="shared" si="7"/>
        <v>1.6000000000000001E-3</v>
      </c>
    </row>
    <row r="8" spans="1:12" x14ac:dyDescent="0.35">
      <c r="A8" t="s">
        <v>267</v>
      </c>
      <c r="B8" t="s">
        <v>268</v>
      </c>
      <c r="C8">
        <v>108.17</v>
      </c>
      <c r="D8" s="13" t="s">
        <v>70</v>
      </c>
      <c r="E8">
        <f t="shared" ca="1" si="0"/>
        <v>1.7487607902326962E-2</v>
      </c>
      <c r="F8">
        <f t="shared" ca="1" si="1"/>
        <v>6.4078503466239875E-2</v>
      </c>
      <c r="G8">
        <f t="shared" ca="1" si="2"/>
        <v>4.078305568428342E-2</v>
      </c>
      <c r="H8" t="str">
        <f t="shared" si="3"/>
        <v>&gt;50</v>
      </c>
      <c r="I8">
        <f t="shared" si="4"/>
        <v>108.10513691784929</v>
      </c>
      <c r="J8" s="2">
        <f t="shared" si="5"/>
        <v>6.4863082150708351E-2</v>
      </c>
      <c r="K8" t="str">
        <f t="shared" si="6"/>
        <v>&gt;=10</v>
      </c>
      <c r="L8" s="12">
        <f t="shared" si="7"/>
        <v>5.9999999999999995E-4</v>
      </c>
    </row>
    <row r="9" spans="1:12" hidden="1" x14ac:dyDescent="0.35">
      <c r="A9" t="s">
        <v>39</v>
      </c>
      <c r="B9" t="s">
        <v>40</v>
      </c>
      <c r="C9">
        <v>2.06</v>
      </c>
      <c r="D9" s="13" t="s">
        <v>41</v>
      </c>
      <c r="E9">
        <f t="shared" ca="1" si="0"/>
        <v>4.1243088076620492E-2</v>
      </c>
      <c r="F9">
        <f t="shared" ca="1" si="1"/>
        <v>9.5083070271223244E-2</v>
      </c>
      <c r="G9">
        <f t="shared" ca="1" si="2"/>
        <v>6.8163079173921864E-2</v>
      </c>
      <c r="H9" t="str">
        <f t="shared" si="3"/>
        <v>0.5-5</v>
      </c>
      <c r="I9">
        <f t="shared" si="4"/>
        <v>2.0361767322328754</v>
      </c>
      <c r="J9" s="2">
        <f t="shared" si="5"/>
        <v>2.3823267767124623E-2</v>
      </c>
      <c r="K9" t="str">
        <f t="shared" si="6"/>
        <v>&lt;=10</v>
      </c>
      <c r="L9" s="12">
        <f t="shared" si="7"/>
        <v>1.17E-2</v>
      </c>
    </row>
    <row r="10" spans="1:12" hidden="1" x14ac:dyDescent="0.35">
      <c r="A10" t="s">
        <v>65</v>
      </c>
      <c r="B10" t="s">
        <v>66</v>
      </c>
      <c r="C10">
        <v>4.32</v>
      </c>
      <c r="D10" s="13" t="s">
        <v>67</v>
      </c>
      <c r="E10">
        <f t="shared" ca="1" si="0"/>
        <v>2.852273144569108E-2</v>
      </c>
      <c r="F10">
        <f t="shared" ca="1" si="1"/>
        <v>-8.4758762040083979E-2</v>
      </c>
      <c r="G10">
        <f t="shared" ca="1" si="2"/>
        <v>-2.8118015297196451E-2</v>
      </c>
      <c r="H10" t="str">
        <f t="shared" si="3"/>
        <v>0.5-5</v>
      </c>
      <c r="I10">
        <f t="shared" si="4"/>
        <v>4.3006470881035348</v>
      </c>
      <c r="J10" s="2">
        <f t="shared" si="5"/>
        <v>1.9352911896465486E-2</v>
      </c>
      <c r="K10" t="str">
        <f t="shared" si="6"/>
        <v>&lt;=10</v>
      </c>
      <c r="L10" s="12">
        <f t="shared" si="7"/>
        <v>4.4999999999999997E-3</v>
      </c>
    </row>
    <row r="11" spans="1:12" hidden="1" x14ac:dyDescent="0.35">
      <c r="A11" t="s">
        <v>83</v>
      </c>
      <c r="B11" t="s">
        <v>84</v>
      </c>
      <c r="C11">
        <v>0.49459999999999998</v>
      </c>
      <c r="D11" s="13" t="s">
        <v>85</v>
      </c>
      <c r="E11">
        <f t="shared" ca="1" si="0"/>
        <v>-9.7812557368266925E-3</v>
      </c>
      <c r="F11">
        <f t="shared" ca="1" si="1"/>
        <v>0.12608963389801561</v>
      </c>
      <c r="G11">
        <f t="shared" ca="1" si="2"/>
        <v>5.8154189080594457E-2</v>
      </c>
      <c r="H11" t="str">
        <f t="shared" si="3"/>
        <v>0.05-0.5</v>
      </c>
      <c r="I11">
        <f t="shared" si="4"/>
        <v>0.4800543531010385</v>
      </c>
      <c r="J11" s="2">
        <f t="shared" si="5"/>
        <v>1.4545646898961484E-2</v>
      </c>
      <c r="K11" t="str">
        <f t="shared" si="6"/>
        <v>&lt;=10</v>
      </c>
      <c r="L11" s="12">
        <f t="shared" si="7"/>
        <v>3.0300000000000001E-2</v>
      </c>
    </row>
    <row r="12" spans="1:12" hidden="1" x14ac:dyDescent="0.35">
      <c r="A12" t="s">
        <v>54</v>
      </c>
      <c r="B12" t="s">
        <v>55</v>
      </c>
      <c r="C12">
        <v>0.46260000000000001</v>
      </c>
      <c r="D12" t="s">
        <v>56</v>
      </c>
      <c r="E12">
        <f t="shared" ca="1" si="0"/>
        <v>4.7095498083175799E-2</v>
      </c>
      <c r="F12">
        <f t="shared" ca="1" si="1"/>
        <v>-4.963494219329842E-2</v>
      </c>
      <c r="G12">
        <f t="shared" ca="1" si="2"/>
        <v>-1.2697220550613106E-3</v>
      </c>
      <c r="H12" t="str">
        <f t="shared" si="3"/>
        <v>0.05-0.5</v>
      </c>
      <c r="I12">
        <f t="shared" si="4"/>
        <v>0.44890829694323148</v>
      </c>
      <c r="J12" s="2">
        <f t="shared" si="5"/>
        <v>1.3691703056768534E-2</v>
      </c>
      <c r="K12" t="str">
        <f t="shared" si="6"/>
        <v>&lt;=10</v>
      </c>
      <c r="L12" s="12">
        <f t="shared" si="7"/>
        <v>3.0499999999999999E-2</v>
      </c>
    </row>
    <row r="13" spans="1:12" hidden="1" x14ac:dyDescent="0.35">
      <c r="A13" t="s">
        <v>15</v>
      </c>
      <c r="B13" t="s">
        <v>15</v>
      </c>
      <c r="C13">
        <v>2.12</v>
      </c>
      <c r="D13" t="s">
        <v>16</v>
      </c>
      <c r="E13">
        <f t="shared" ca="1" si="0"/>
        <v>2.8435078663176613E-2</v>
      </c>
      <c r="F13">
        <f t="shared" ca="1" si="1"/>
        <v>2.5319614666272756E-2</v>
      </c>
      <c r="G13">
        <f t="shared" ca="1" si="2"/>
        <v>2.6877346664724685E-2</v>
      </c>
      <c r="H13" t="str">
        <f t="shared" si="3"/>
        <v>0.5-5</v>
      </c>
      <c r="I13">
        <f t="shared" si="4"/>
        <v>2.1084037792143211</v>
      </c>
      <c r="J13" s="2">
        <f t="shared" si="5"/>
        <v>1.1596220785679012E-2</v>
      </c>
      <c r="K13" t="str">
        <f t="shared" si="6"/>
        <v>&lt;=10</v>
      </c>
      <c r="L13" s="12">
        <f t="shared" si="7"/>
        <v>5.4999999999999997E-3</v>
      </c>
    </row>
    <row r="14" spans="1:12" hidden="1" x14ac:dyDescent="0.35">
      <c r="A14" t="s">
        <v>209</v>
      </c>
      <c r="B14" t="s">
        <v>210</v>
      </c>
      <c r="C14">
        <v>0.5232</v>
      </c>
      <c r="D14" t="s">
        <v>211</v>
      </c>
      <c r="E14">
        <f t="shared" ca="1" si="0"/>
        <v>6.1410022200381845E-2</v>
      </c>
      <c r="F14">
        <f t="shared" ca="1" si="1"/>
        <v>1.3633525446367888E-3</v>
      </c>
      <c r="G14">
        <f t="shared" ca="1" si="2"/>
        <v>3.1386687372509318E-2</v>
      </c>
      <c r="H14" t="str">
        <f t="shared" si="3"/>
        <v>0.5-5</v>
      </c>
      <c r="I14">
        <f t="shared" si="4"/>
        <v>0.51198747431255498</v>
      </c>
      <c r="J14" s="2">
        <f t="shared" si="5"/>
        <v>1.1212525687445019E-2</v>
      </c>
      <c r="K14" t="str">
        <f t="shared" si="6"/>
        <v>&lt;=10</v>
      </c>
      <c r="L14" s="12">
        <f t="shared" si="7"/>
        <v>2.1899999999999999E-2</v>
      </c>
    </row>
    <row r="15" spans="1:12" hidden="1" x14ac:dyDescent="0.35">
      <c r="A15" t="s">
        <v>191</v>
      </c>
      <c r="B15" t="s">
        <v>192</v>
      </c>
      <c r="C15">
        <v>2.5299999999999998</v>
      </c>
      <c r="D15" t="s">
        <v>193</v>
      </c>
      <c r="E15">
        <f t="shared" ca="1" si="0"/>
        <v>5.1209278458275137E-2</v>
      </c>
      <c r="F15">
        <f t="shared" ca="1" si="1"/>
        <v>-4.2584302865542295E-2</v>
      </c>
      <c r="G15">
        <f t="shared" ca="1" si="2"/>
        <v>4.312487796366421E-3</v>
      </c>
      <c r="H15" t="str">
        <f t="shared" si="3"/>
        <v>0.5-5</v>
      </c>
      <c r="I15">
        <f t="shared" si="4"/>
        <v>2.5189167662285943</v>
      </c>
      <c r="J15" s="2">
        <f t="shared" si="5"/>
        <v>1.1083233771405521E-2</v>
      </c>
      <c r="K15" t="str">
        <f t="shared" si="6"/>
        <v>&lt;=10</v>
      </c>
      <c r="L15" s="12">
        <f t="shared" si="7"/>
        <v>4.4000000000000003E-3</v>
      </c>
    </row>
    <row r="16" spans="1:12" hidden="1" x14ac:dyDescent="0.35">
      <c r="A16" t="s">
        <v>169</v>
      </c>
      <c r="B16" t="s">
        <v>170</v>
      </c>
      <c r="C16">
        <v>9.67</v>
      </c>
      <c r="D16" t="s">
        <v>18</v>
      </c>
      <c r="E16">
        <f t="shared" ca="1" si="0"/>
        <v>-2.5616450784717592E-2</v>
      </c>
      <c r="F16">
        <f t="shared" ca="1" si="1"/>
        <v>-7.8365535628107968E-2</v>
      </c>
      <c r="G16">
        <f t="shared" ca="1" si="2"/>
        <v>-5.1990993206412782E-2</v>
      </c>
      <c r="H16" t="str">
        <f t="shared" si="3"/>
        <v>5-50</v>
      </c>
      <c r="I16">
        <f t="shared" si="4"/>
        <v>9.6603396603396607</v>
      </c>
      <c r="J16" s="2">
        <f t="shared" si="5"/>
        <v>9.66033966033919E-3</v>
      </c>
      <c r="K16" t="str">
        <f t="shared" si="6"/>
        <v>&lt;=10</v>
      </c>
      <c r="L16" s="12">
        <f t="shared" si="7"/>
        <v>1E-3</v>
      </c>
    </row>
    <row r="17" spans="1:12" hidden="1" x14ac:dyDescent="0.35">
      <c r="A17" t="s">
        <v>327</v>
      </c>
      <c r="B17" t="s">
        <v>328</v>
      </c>
      <c r="C17">
        <v>1.69</v>
      </c>
      <c r="D17" t="s">
        <v>67</v>
      </c>
      <c r="E17">
        <f t="shared" ca="1" si="0"/>
        <v>5.3525623261484979E-3</v>
      </c>
      <c r="F17">
        <f t="shared" ca="1" si="1"/>
        <v>-8.3650724029713602E-2</v>
      </c>
      <c r="G17">
        <f t="shared" ca="1" si="2"/>
        <v>-3.914908085178255E-2</v>
      </c>
      <c r="H17" t="str">
        <f t="shared" si="3"/>
        <v>0.5-5</v>
      </c>
      <c r="I17">
        <f t="shared" si="4"/>
        <v>1.6824290691886512</v>
      </c>
      <c r="J17" s="2">
        <f t="shared" si="5"/>
        <v>7.5709308113487417E-3</v>
      </c>
      <c r="K17" t="str">
        <f t="shared" si="6"/>
        <v>&lt;=10</v>
      </c>
      <c r="L17" s="12">
        <f t="shared" si="7"/>
        <v>4.4999999999999997E-3</v>
      </c>
    </row>
    <row r="18" spans="1:12" hidden="1" x14ac:dyDescent="0.35">
      <c r="A18" t="s">
        <v>71</v>
      </c>
      <c r="B18" t="s">
        <v>72</v>
      </c>
      <c r="C18">
        <v>1.43</v>
      </c>
      <c r="D18" t="s">
        <v>73</v>
      </c>
      <c r="E18">
        <f t="shared" ca="1" si="0"/>
        <v>-4.3116006083081485E-2</v>
      </c>
      <c r="F18">
        <f t="shared" ca="1" si="1"/>
        <v>-6.191995693567115E-2</v>
      </c>
      <c r="G18">
        <f t="shared" ca="1" si="2"/>
        <v>-5.2517981509376317E-2</v>
      </c>
      <c r="H18" t="str">
        <f t="shared" si="3"/>
        <v>0.5-5</v>
      </c>
      <c r="I18">
        <f t="shared" si="4"/>
        <v>1.422602467170712</v>
      </c>
      <c r="J18" s="2">
        <f t="shared" si="5"/>
        <v>7.3975328292879006E-3</v>
      </c>
      <c r="K18" t="str">
        <f t="shared" si="6"/>
        <v>&lt;=10</v>
      </c>
      <c r="L18" s="12">
        <f t="shared" si="7"/>
        <v>5.1999999999999998E-3</v>
      </c>
    </row>
    <row r="19" spans="1:12" hidden="1" x14ac:dyDescent="0.35">
      <c r="A19" t="s">
        <v>36</v>
      </c>
      <c r="B19" t="s">
        <v>37</v>
      </c>
      <c r="C19">
        <v>0.42049999999999998</v>
      </c>
      <c r="D19" t="s">
        <v>38</v>
      </c>
      <c r="E19">
        <f t="shared" ca="1" si="0"/>
        <v>2.271545191457704E-2</v>
      </c>
      <c r="F19">
        <f t="shared" ca="1" si="1"/>
        <v>3.7444177327953465E-2</v>
      </c>
      <c r="G19">
        <f t="shared" ca="1" si="2"/>
        <v>3.0079814621265251E-2</v>
      </c>
      <c r="H19" t="str">
        <f t="shared" si="3"/>
        <v>0.05-0.5</v>
      </c>
      <c r="I19">
        <f t="shared" si="4"/>
        <v>0.41400019690853596</v>
      </c>
      <c r="J19" s="2">
        <f t="shared" si="5"/>
        <v>6.4998030914640292E-3</v>
      </c>
      <c r="K19" t="str">
        <f t="shared" si="6"/>
        <v>&lt;=10</v>
      </c>
      <c r="L19" s="12">
        <f t="shared" si="7"/>
        <v>1.5699999999999999E-2</v>
      </c>
    </row>
    <row r="20" spans="1:12" hidden="1" x14ac:dyDescent="0.35">
      <c r="A20" t="s">
        <v>403</v>
      </c>
      <c r="B20" t="s">
        <v>404</v>
      </c>
      <c r="C20">
        <v>0.17610000000000001</v>
      </c>
      <c r="D20" t="s">
        <v>405</v>
      </c>
      <c r="E20">
        <f t="shared" ca="1" si="0"/>
        <v>5.9644447220126087E-3</v>
      </c>
      <c r="F20">
        <f t="shared" ca="1" si="1"/>
        <v>3.1123875059673348E-2</v>
      </c>
      <c r="G20">
        <f t="shared" ca="1" si="2"/>
        <v>1.854415989084298E-2</v>
      </c>
      <c r="H20" t="str">
        <f t="shared" si="3"/>
        <v>0.05-0.5</v>
      </c>
      <c r="I20">
        <f t="shared" si="4"/>
        <v>0.17040836075091928</v>
      </c>
      <c r="J20" s="2">
        <f t="shared" si="5"/>
        <v>5.6916392490807266E-3</v>
      </c>
      <c r="K20" t="str">
        <f t="shared" si="6"/>
        <v>&lt;=10</v>
      </c>
      <c r="L20" s="12">
        <f t="shared" si="7"/>
        <v>3.3399999999999999E-2</v>
      </c>
    </row>
    <row r="21" spans="1:12" hidden="1" x14ac:dyDescent="0.35">
      <c r="A21" t="s">
        <v>30</v>
      </c>
      <c r="B21" t="s">
        <v>31</v>
      </c>
      <c r="C21">
        <v>0.58079999999999998</v>
      </c>
      <c r="D21" t="s">
        <v>32</v>
      </c>
      <c r="E21">
        <f t="shared" ca="1" si="0"/>
        <v>-3.1980634192765013E-2</v>
      </c>
      <c r="F21">
        <f t="shared" ca="1" si="1"/>
        <v>9.3058113355066439E-3</v>
      </c>
      <c r="G21">
        <f t="shared" ca="1" si="2"/>
        <v>-1.1337411428629185E-2</v>
      </c>
      <c r="H21" t="str">
        <f t="shared" si="3"/>
        <v>0.5-5</v>
      </c>
      <c r="I21">
        <f t="shared" si="4"/>
        <v>0.57527733755942945</v>
      </c>
      <c r="J21" s="2">
        <f t="shared" si="5"/>
        <v>5.522662440570536E-3</v>
      </c>
      <c r="K21" t="str">
        <f t="shared" si="6"/>
        <v>&lt;=10</v>
      </c>
      <c r="L21" s="12">
        <f t="shared" si="7"/>
        <v>9.5999999999999992E-3</v>
      </c>
    </row>
    <row r="22" spans="1:12" hidden="1" x14ac:dyDescent="0.35">
      <c r="A22" t="s">
        <v>174</v>
      </c>
      <c r="B22" t="s">
        <v>175</v>
      </c>
      <c r="C22">
        <v>0.30309999999999998</v>
      </c>
      <c r="D22" t="s">
        <v>176</v>
      </c>
      <c r="E22">
        <f t="shared" ca="1" si="0"/>
        <v>-2.2200359306512967E-2</v>
      </c>
      <c r="F22">
        <f t="shared" ca="1" si="1"/>
        <v>-2.2213531834480212E-2</v>
      </c>
      <c r="G22">
        <f t="shared" ca="1" si="2"/>
        <v>-2.220694557049659E-2</v>
      </c>
      <c r="H22" t="str">
        <f t="shared" si="3"/>
        <v>0.05-0.5</v>
      </c>
      <c r="I22">
        <f t="shared" si="4"/>
        <v>0.29794554212130142</v>
      </c>
      <c r="J22" s="2">
        <f t="shared" si="5"/>
        <v>5.1544578786985595E-3</v>
      </c>
      <c r="K22" t="str">
        <f t="shared" si="6"/>
        <v>&lt;=10</v>
      </c>
      <c r="L22" s="12">
        <f t="shared" si="7"/>
        <v>1.7299999999999999E-2</v>
      </c>
    </row>
    <row r="23" spans="1:12" hidden="1" x14ac:dyDescent="0.35">
      <c r="A23" t="s">
        <v>119</v>
      </c>
      <c r="B23" t="s">
        <v>120</v>
      </c>
      <c r="C23">
        <v>0.73740000000000006</v>
      </c>
      <c r="D23" t="s">
        <v>121</v>
      </c>
      <c r="E23">
        <f t="shared" ca="1" si="0"/>
        <v>5.5461008060691833E-2</v>
      </c>
      <c r="F23">
        <f t="shared" ca="1" si="1"/>
        <v>-4.3995293293896343E-2</v>
      </c>
      <c r="G23">
        <f t="shared" ca="1" si="2"/>
        <v>5.732857383397745E-3</v>
      </c>
      <c r="H23" t="str">
        <f t="shared" si="3"/>
        <v>0.5-5</v>
      </c>
      <c r="I23">
        <f t="shared" si="4"/>
        <v>0.73234680703148292</v>
      </c>
      <c r="J23" s="2">
        <f t="shared" si="5"/>
        <v>5.0531929685171395E-3</v>
      </c>
      <c r="K23" t="str">
        <f t="shared" si="6"/>
        <v>&lt;=10</v>
      </c>
      <c r="L23" s="12">
        <f t="shared" si="7"/>
        <v>6.8999999999999999E-3</v>
      </c>
    </row>
    <row r="24" spans="1:12" hidden="1" x14ac:dyDescent="0.35">
      <c r="A24" t="s">
        <v>42</v>
      </c>
      <c r="B24" t="s">
        <v>43</v>
      </c>
      <c r="C24">
        <v>0.54430000000000001</v>
      </c>
      <c r="D24" t="s">
        <v>44</v>
      </c>
      <c r="E24">
        <f t="shared" ca="1" si="0"/>
        <v>-2.7425662833062206E-3</v>
      </c>
      <c r="F24">
        <f t="shared" ca="1" si="1"/>
        <v>-6.9969067564164725E-2</v>
      </c>
      <c r="G24">
        <f t="shared" ca="1" si="2"/>
        <v>-3.6355816923735476E-2</v>
      </c>
      <c r="H24" t="str">
        <f t="shared" si="3"/>
        <v>0.5-5</v>
      </c>
      <c r="I24">
        <f t="shared" si="4"/>
        <v>0.53987304106328116</v>
      </c>
      <c r="J24" s="2">
        <f t="shared" si="5"/>
        <v>4.42695893671885E-3</v>
      </c>
      <c r="K24" t="str">
        <f t="shared" si="6"/>
        <v>&lt;=10</v>
      </c>
      <c r="L24" s="12">
        <f t="shared" si="7"/>
        <v>8.2000000000000007E-3</v>
      </c>
    </row>
    <row r="25" spans="1:12" hidden="1" x14ac:dyDescent="0.35">
      <c r="A25" t="s">
        <v>177</v>
      </c>
      <c r="B25" t="s">
        <v>178</v>
      </c>
      <c r="C25">
        <v>1.26</v>
      </c>
      <c r="D25" t="s">
        <v>179</v>
      </c>
      <c r="E25">
        <f t="shared" ca="1" si="0"/>
        <v>1.5518023004994838E-2</v>
      </c>
      <c r="F25">
        <f t="shared" ca="1" si="1"/>
        <v>8.1781230942073943E-2</v>
      </c>
      <c r="G25">
        <f t="shared" ca="1" si="2"/>
        <v>4.8649626973534393E-2</v>
      </c>
      <c r="H25" t="str">
        <f t="shared" si="3"/>
        <v>0.5-5</v>
      </c>
      <c r="I25">
        <f t="shared" si="4"/>
        <v>1.2561060711793439</v>
      </c>
      <c r="J25" s="2">
        <f t="shared" si="5"/>
        <v>3.8939288206560896E-3</v>
      </c>
      <c r="K25" t="str">
        <f t="shared" si="6"/>
        <v>&lt;=10</v>
      </c>
      <c r="L25" s="12">
        <f t="shared" si="7"/>
        <v>3.0999999999999999E-3</v>
      </c>
    </row>
    <row r="26" spans="1:12" hidden="1" x14ac:dyDescent="0.35">
      <c r="A26" t="s">
        <v>392</v>
      </c>
      <c r="B26" t="s">
        <v>392</v>
      </c>
      <c r="C26">
        <v>0.53049999999999997</v>
      </c>
      <c r="D26" t="s">
        <v>393</v>
      </c>
      <c r="E26">
        <f t="shared" ca="1" si="0"/>
        <v>2.5314226879474926E-2</v>
      </c>
      <c r="F26">
        <f t="shared" ca="1" si="1"/>
        <v>-3.7656660326084883E-2</v>
      </c>
      <c r="G26">
        <f t="shared" ca="1" si="2"/>
        <v>-6.1712167233049786E-3</v>
      </c>
      <c r="H26" t="str">
        <f t="shared" si="3"/>
        <v>0.5-5</v>
      </c>
      <c r="I26">
        <f t="shared" si="4"/>
        <v>0.52691696464044502</v>
      </c>
      <c r="J26" s="2">
        <f t="shared" si="5"/>
        <v>3.5830353595549536E-3</v>
      </c>
      <c r="K26" t="str">
        <f t="shared" si="6"/>
        <v>&lt;=10</v>
      </c>
      <c r="L26" s="12">
        <f t="shared" si="7"/>
        <v>6.7999999999999996E-3</v>
      </c>
    </row>
    <row r="27" spans="1:12" hidden="1" x14ac:dyDescent="0.35">
      <c r="A27" t="s">
        <v>45</v>
      </c>
      <c r="B27" t="s">
        <v>46</v>
      </c>
      <c r="C27">
        <v>0.52070000000000005</v>
      </c>
      <c r="D27" t="s">
        <v>47</v>
      </c>
      <c r="E27">
        <f t="shared" ca="1" si="0"/>
        <v>-3.5957992540145416E-2</v>
      </c>
      <c r="F27">
        <f t="shared" ca="1" si="1"/>
        <v>8.766556225845562E-2</v>
      </c>
      <c r="G27">
        <f t="shared" ca="1" si="2"/>
        <v>2.5853784859155102E-2</v>
      </c>
      <c r="H27" t="str">
        <f t="shared" si="3"/>
        <v>0.5-5</v>
      </c>
      <c r="I27">
        <f t="shared" si="4"/>
        <v>0.51728591297436921</v>
      </c>
      <c r="J27" s="2">
        <f t="shared" si="5"/>
        <v>3.4140870256308409E-3</v>
      </c>
      <c r="K27" t="str">
        <f t="shared" si="6"/>
        <v>&lt;=10</v>
      </c>
      <c r="L27" s="12">
        <f t="shared" si="7"/>
        <v>6.6E-3</v>
      </c>
    </row>
    <row r="28" spans="1:12" hidden="1" x14ac:dyDescent="0.35">
      <c r="A28" t="s">
        <v>57</v>
      </c>
      <c r="B28" t="s">
        <v>58</v>
      </c>
      <c r="C28">
        <v>0.2505</v>
      </c>
      <c r="D28" t="s">
        <v>59</v>
      </c>
      <c r="E28">
        <f t="shared" ca="1" si="0"/>
        <v>4.830619433679692E-2</v>
      </c>
      <c r="F28">
        <f t="shared" ca="1" si="1"/>
        <v>3.9838082383013271E-2</v>
      </c>
      <c r="G28">
        <f t="shared" ca="1" si="2"/>
        <v>4.4072138359905096E-2</v>
      </c>
      <c r="H28" t="str">
        <f t="shared" si="3"/>
        <v>0.05-0.5</v>
      </c>
      <c r="I28">
        <f t="shared" si="4"/>
        <v>0.24711453092630956</v>
      </c>
      <c r="J28" s="2">
        <f t="shared" si="5"/>
        <v>3.3854690736904447E-3</v>
      </c>
      <c r="K28" t="str">
        <f t="shared" si="6"/>
        <v>&lt;=10</v>
      </c>
      <c r="L28" s="12">
        <f t="shared" si="7"/>
        <v>1.37E-2</v>
      </c>
    </row>
    <row r="29" spans="1:12" hidden="1" x14ac:dyDescent="0.35">
      <c r="A29" t="s">
        <v>51</v>
      </c>
      <c r="B29" t="s">
        <v>52</v>
      </c>
      <c r="C29">
        <v>0.33939999999999998</v>
      </c>
      <c r="D29" t="s">
        <v>53</v>
      </c>
      <c r="E29">
        <f t="shared" ca="1" si="0"/>
        <v>-9.5294546655169104E-3</v>
      </c>
      <c r="F29">
        <f t="shared" ca="1" si="1"/>
        <v>8.5446631959885805E-2</v>
      </c>
      <c r="G29">
        <f t="shared" ca="1" si="2"/>
        <v>3.7958588647184446E-2</v>
      </c>
      <c r="H29" t="str">
        <f t="shared" si="3"/>
        <v>0.05-0.5</v>
      </c>
      <c r="I29">
        <f t="shared" si="4"/>
        <v>0.33603960396039601</v>
      </c>
      <c r="J29" s="2">
        <f t="shared" si="5"/>
        <v>3.3603960396039745E-3</v>
      </c>
      <c r="K29" t="str">
        <f t="shared" si="6"/>
        <v>&lt;=10</v>
      </c>
      <c r="L29" s="12">
        <f t="shared" si="7"/>
        <v>0.01</v>
      </c>
    </row>
    <row r="30" spans="1:12" hidden="1" x14ac:dyDescent="0.35">
      <c r="A30" t="s">
        <v>265</v>
      </c>
      <c r="B30" t="s">
        <v>266</v>
      </c>
      <c r="C30">
        <v>1.6</v>
      </c>
      <c r="D30" t="s">
        <v>154</v>
      </c>
      <c r="E30">
        <f t="shared" ca="1" si="0"/>
        <v>-1.0441477840459059E-2</v>
      </c>
      <c r="F30">
        <f t="shared" ca="1" si="1"/>
        <v>2.0899694974110258E-2</v>
      </c>
      <c r="G30">
        <f t="shared" ca="1" si="2"/>
        <v>5.2291085668255992E-3</v>
      </c>
      <c r="H30" t="str">
        <f t="shared" si="3"/>
        <v>0.5-5</v>
      </c>
      <c r="I30">
        <f t="shared" si="4"/>
        <v>1.5971251746855661</v>
      </c>
      <c r="J30" s="2">
        <f t="shared" si="5"/>
        <v>2.8748253144339486E-3</v>
      </c>
      <c r="K30" t="str">
        <f t="shared" si="6"/>
        <v>&lt;=10</v>
      </c>
      <c r="L30" s="12">
        <f t="shared" si="7"/>
        <v>1.8E-3</v>
      </c>
    </row>
    <row r="31" spans="1:12" hidden="1" x14ac:dyDescent="0.35">
      <c r="A31" t="s">
        <v>382</v>
      </c>
      <c r="B31" t="s">
        <v>383</v>
      </c>
      <c r="C31">
        <v>2.34</v>
      </c>
      <c r="D31" t="s">
        <v>308</v>
      </c>
      <c r="E31">
        <f t="shared" ca="1" si="0"/>
        <v>-2.2618944541492093E-2</v>
      </c>
      <c r="F31">
        <f t="shared" ca="1" si="1"/>
        <v>-6.1175109573431752E-2</v>
      </c>
      <c r="G31">
        <f t="shared" ca="1" si="2"/>
        <v>-4.1897027057461921E-2</v>
      </c>
      <c r="H31" t="str">
        <f t="shared" si="3"/>
        <v>0.5-5</v>
      </c>
      <c r="I31">
        <f t="shared" si="4"/>
        <v>2.337195365561326</v>
      </c>
      <c r="J31" s="2">
        <f t="shared" si="5"/>
        <v>2.8046344386738475E-3</v>
      </c>
      <c r="K31" t="str">
        <f t="shared" si="6"/>
        <v>&lt;=10</v>
      </c>
      <c r="L31" s="12">
        <f t="shared" si="7"/>
        <v>1.1999999999999999E-3</v>
      </c>
    </row>
    <row r="32" spans="1:12" hidden="1" x14ac:dyDescent="0.35">
      <c r="A32" t="s">
        <v>180</v>
      </c>
      <c r="B32" t="s">
        <v>181</v>
      </c>
      <c r="C32">
        <v>0.53610000000000002</v>
      </c>
      <c r="D32" t="s">
        <v>182</v>
      </c>
      <c r="E32">
        <f t="shared" ca="1" si="0"/>
        <v>3.8507983346866601E-2</v>
      </c>
      <c r="F32">
        <f t="shared" ca="1" si="1"/>
        <v>-2.0173958302443257E-2</v>
      </c>
      <c r="G32">
        <f t="shared" ca="1" si="2"/>
        <v>9.1670125222116719E-3</v>
      </c>
      <c r="H32" t="str">
        <f t="shared" si="3"/>
        <v>0.5-5</v>
      </c>
      <c r="I32">
        <f t="shared" si="4"/>
        <v>0.53348591899691522</v>
      </c>
      <c r="J32" s="2">
        <f t="shared" si="5"/>
        <v>2.6140810030848005E-3</v>
      </c>
      <c r="K32" t="str">
        <f t="shared" si="6"/>
        <v>&lt;=10</v>
      </c>
      <c r="L32" s="12">
        <f t="shared" si="7"/>
        <v>4.8999999999999998E-3</v>
      </c>
    </row>
    <row r="33" spans="1:12" hidden="1" x14ac:dyDescent="0.35">
      <c r="A33" t="s">
        <v>204</v>
      </c>
      <c r="B33" t="s">
        <v>205</v>
      </c>
      <c r="C33">
        <v>0.1401</v>
      </c>
      <c r="D33" t="s">
        <v>206</v>
      </c>
      <c r="E33">
        <f t="shared" ca="1" si="0"/>
        <v>4.5421438208877132E-2</v>
      </c>
      <c r="F33">
        <f t="shared" ca="1" si="1"/>
        <v>7.3599271178856868E-2</v>
      </c>
      <c r="G33">
        <f t="shared" ca="1" si="2"/>
        <v>5.9510354693867E-2</v>
      </c>
      <c r="H33" t="str">
        <f t="shared" si="3"/>
        <v>0.05-0.5</v>
      </c>
      <c r="I33">
        <f t="shared" si="4"/>
        <v>0.13766335855360126</v>
      </c>
      <c r="J33" s="2">
        <f t="shared" si="5"/>
        <v>2.4366414463987407E-3</v>
      </c>
      <c r="K33" t="str">
        <f t="shared" si="6"/>
        <v>&lt;=10</v>
      </c>
      <c r="L33" s="12">
        <f t="shared" si="7"/>
        <v>1.77E-2</v>
      </c>
    </row>
    <row r="34" spans="1:12" hidden="1" x14ac:dyDescent="0.35">
      <c r="A34" t="s">
        <v>455</v>
      </c>
      <c r="B34" t="s">
        <v>456</v>
      </c>
      <c r="C34">
        <v>0.1976</v>
      </c>
      <c r="D34" t="s">
        <v>457</v>
      </c>
      <c r="E34">
        <f t="shared" ref="E34:E65" ca="1" si="8">D34 + (RAND()-0.5)/10</f>
        <v>2.2435549184901003E-2</v>
      </c>
      <c r="F34">
        <f t="shared" ref="F34:F65" ca="1" si="9">D34 + (RAND()-0.5)/5</f>
        <v>5.6670646719198914E-2</v>
      </c>
      <c r="G34">
        <f t="shared" ref="G34:G65" ca="1" si="10">AVERAGE(D34,E34,F34)</f>
        <v>3.9553097952049962E-2</v>
      </c>
      <c r="H34" t="str">
        <f t="shared" ref="H34:H65" si="11">IF(C34&lt;=0.05,"0-0.05",
IF(C34&lt;=0.5,"0.05-0.5",
IF(C34&lt;=5,"0.5-5",
IF(C34&lt;=50,"5-50","&gt;50"))))</f>
        <v>0.05-0.5</v>
      </c>
      <c r="I34">
        <f t="shared" ref="I34:I65" si="12">C34/(1+D34)</f>
        <v>0.19525691699604741</v>
      </c>
      <c r="J34" s="2">
        <f t="shared" ref="J34:J65" si="13">C34-I34</f>
        <v>2.3430830039525841E-3</v>
      </c>
      <c r="K34" t="str">
        <f t="shared" ref="K34:K65" si="14">IF(C34&lt;=10,"&lt;=10","&gt;=10")</f>
        <v>&lt;=10</v>
      </c>
      <c r="L34" s="12">
        <f t="shared" si="7"/>
        <v>1.2E-2</v>
      </c>
    </row>
    <row r="35" spans="1:12" hidden="1" x14ac:dyDescent="0.35">
      <c r="A35" t="s">
        <v>199</v>
      </c>
      <c r="B35" t="s">
        <v>200</v>
      </c>
      <c r="C35">
        <v>0.33879999999999999</v>
      </c>
      <c r="D35" t="s">
        <v>121</v>
      </c>
      <c r="E35">
        <f t="shared" ca="1" si="8"/>
        <v>-1.1406177737678328E-3</v>
      </c>
      <c r="F35">
        <f t="shared" ca="1" si="9"/>
        <v>9.4858351931340346E-2</v>
      </c>
      <c r="G35">
        <f t="shared" ca="1" si="10"/>
        <v>4.6858867078786254E-2</v>
      </c>
      <c r="H35" t="str">
        <f t="shared" si="11"/>
        <v>0.05-0.5</v>
      </c>
      <c r="I35">
        <f t="shared" si="12"/>
        <v>0.33647829973185023</v>
      </c>
      <c r="J35" s="2">
        <f t="shared" si="13"/>
        <v>2.3217002681497623E-3</v>
      </c>
      <c r="K35" t="str">
        <f t="shared" si="14"/>
        <v>&lt;=10</v>
      </c>
      <c r="L35" s="12">
        <f t="shared" si="7"/>
        <v>6.8999999999999999E-3</v>
      </c>
    </row>
    <row r="36" spans="1:12" hidden="1" x14ac:dyDescent="0.35">
      <c r="A36" t="s">
        <v>374</v>
      </c>
      <c r="B36" t="s">
        <v>375</v>
      </c>
      <c r="C36">
        <v>5.1470000000000002E-2</v>
      </c>
      <c r="D36" t="s">
        <v>376</v>
      </c>
      <c r="E36">
        <f t="shared" ca="1" si="8"/>
        <v>2.2739745275341294E-2</v>
      </c>
      <c r="F36">
        <f t="shared" ca="1" si="9"/>
        <v>0.1149077482211683</v>
      </c>
      <c r="G36">
        <f t="shared" ca="1" si="10"/>
        <v>6.8823746748254797E-2</v>
      </c>
      <c r="H36" t="str">
        <f t="shared" si="11"/>
        <v>0.05-0.5</v>
      </c>
      <c r="I36">
        <f t="shared" si="12"/>
        <v>4.918769113149847E-2</v>
      </c>
      <c r="J36" s="2">
        <f t="shared" si="13"/>
        <v>2.2823088685015314E-3</v>
      </c>
      <c r="K36" t="str">
        <f t="shared" si="14"/>
        <v>&lt;=10</v>
      </c>
      <c r="L36" s="12">
        <f t="shared" si="7"/>
        <v>4.6399999999999997E-2</v>
      </c>
    </row>
    <row r="37" spans="1:12" hidden="1" x14ac:dyDescent="0.35">
      <c r="A37" t="s">
        <v>48</v>
      </c>
      <c r="B37" t="s">
        <v>49</v>
      </c>
      <c r="C37">
        <v>9.4530000000000003E-2</v>
      </c>
      <c r="D37" t="s">
        <v>50</v>
      </c>
      <c r="E37">
        <f t="shared" ca="1" si="8"/>
        <v>2.3790678536573375E-2</v>
      </c>
      <c r="F37">
        <f t="shared" ca="1" si="9"/>
        <v>7.4373035414157754E-2</v>
      </c>
      <c r="G37">
        <f t="shared" ca="1" si="10"/>
        <v>4.9081856975365566E-2</v>
      </c>
      <c r="H37" t="str">
        <f t="shared" si="11"/>
        <v>0.05-0.5</v>
      </c>
      <c r="I37">
        <f t="shared" si="12"/>
        <v>9.2431798181284844E-2</v>
      </c>
      <c r="J37" s="2">
        <f t="shared" si="13"/>
        <v>2.0982018187151591E-3</v>
      </c>
      <c r="K37" t="str">
        <f t="shared" si="14"/>
        <v>&lt;=10</v>
      </c>
      <c r="L37" s="12">
        <f t="shared" si="7"/>
        <v>2.2700000000000001E-2</v>
      </c>
    </row>
    <row r="38" spans="1:12" hidden="1" x14ac:dyDescent="0.35">
      <c r="A38" t="s">
        <v>68</v>
      </c>
      <c r="B38" t="s">
        <v>69</v>
      </c>
      <c r="C38">
        <v>3.26</v>
      </c>
      <c r="D38" t="s">
        <v>70</v>
      </c>
      <c r="E38">
        <f t="shared" ca="1" si="8"/>
        <v>-2.5049271925085582E-2</v>
      </c>
      <c r="F38">
        <f t="shared" ca="1" si="9"/>
        <v>-6.9359698112496551E-2</v>
      </c>
      <c r="G38">
        <f t="shared" ca="1" si="10"/>
        <v>-4.720448501879107E-2</v>
      </c>
      <c r="H38" t="str">
        <f t="shared" si="11"/>
        <v>0.5-5</v>
      </c>
      <c r="I38">
        <f t="shared" si="12"/>
        <v>3.2580451728962623</v>
      </c>
      <c r="J38" s="2">
        <f t="shared" si="13"/>
        <v>1.9548271037375109E-3</v>
      </c>
      <c r="K38" t="str">
        <f t="shared" si="14"/>
        <v>&lt;=10</v>
      </c>
      <c r="L38" s="12">
        <f t="shared" si="7"/>
        <v>5.9999999999999995E-4</v>
      </c>
    </row>
    <row r="39" spans="1:12" hidden="1" x14ac:dyDescent="0.35">
      <c r="A39" t="s">
        <v>274</v>
      </c>
      <c r="B39" t="s">
        <v>275</v>
      </c>
      <c r="C39">
        <v>6.8440000000000001E-2</v>
      </c>
      <c r="D39" t="s">
        <v>276</v>
      </c>
      <c r="E39">
        <f t="shared" ca="1" si="8"/>
        <v>-1.8807719118180345E-2</v>
      </c>
      <c r="F39">
        <f t="shared" ca="1" si="9"/>
        <v>6.0339494993592688E-2</v>
      </c>
      <c r="G39">
        <f t="shared" ca="1" si="10"/>
        <v>2.0765887937706173E-2</v>
      </c>
      <c r="H39" t="str">
        <f t="shared" si="11"/>
        <v>0.05-0.5</v>
      </c>
      <c r="I39">
        <f t="shared" si="12"/>
        <v>6.6764218125060976E-2</v>
      </c>
      <c r="J39" s="2">
        <f t="shared" si="13"/>
        <v>1.6757818749390252E-3</v>
      </c>
      <c r="K39" t="str">
        <f t="shared" si="14"/>
        <v>&lt;=10</v>
      </c>
      <c r="L39" s="12">
        <f t="shared" si="7"/>
        <v>2.5100000000000001E-2</v>
      </c>
    </row>
    <row r="40" spans="1:12" hidden="1" x14ac:dyDescent="0.35">
      <c r="A40" t="s">
        <v>27</v>
      </c>
      <c r="B40" t="s">
        <v>28</v>
      </c>
      <c r="C40">
        <v>0.16539999999999999</v>
      </c>
      <c r="D40" t="s">
        <v>29</v>
      </c>
      <c r="E40">
        <f t="shared" ca="1" si="8"/>
        <v>2.2308210620822447E-2</v>
      </c>
      <c r="F40">
        <f t="shared" ca="1" si="9"/>
        <v>8.843273852567636E-2</v>
      </c>
      <c r="G40">
        <f t="shared" ca="1" si="10"/>
        <v>5.5370474573249402E-2</v>
      </c>
      <c r="H40" t="str">
        <f t="shared" si="11"/>
        <v>0.05-0.5</v>
      </c>
      <c r="I40">
        <f t="shared" si="12"/>
        <v>0.16385971864473942</v>
      </c>
      <c r="J40" s="2">
        <f t="shared" si="13"/>
        <v>1.5402813552605754E-3</v>
      </c>
      <c r="K40" t="str">
        <f t="shared" si="14"/>
        <v>&lt;=10</v>
      </c>
      <c r="L40" s="12">
        <f t="shared" si="7"/>
        <v>9.4000000000000004E-3</v>
      </c>
    </row>
    <row r="41" spans="1:12" hidden="1" x14ac:dyDescent="0.35">
      <c r="A41" t="s">
        <v>102</v>
      </c>
      <c r="B41" t="s">
        <v>103</v>
      </c>
      <c r="C41">
        <v>0.15359999999999999</v>
      </c>
      <c r="D41" t="s">
        <v>104</v>
      </c>
      <c r="E41">
        <f t="shared" ca="1" si="8"/>
        <v>9.7655061556906862E-3</v>
      </c>
      <c r="F41">
        <f t="shared" ca="1" si="9"/>
        <v>5.4661692262974571E-2</v>
      </c>
      <c r="G41">
        <f t="shared" ca="1" si="10"/>
        <v>3.221359920933263E-2</v>
      </c>
      <c r="H41" t="str">
        <f t="shared" si="11"/>
        <v>0.05-0.5</v>
      </c>
      <c r="I41">
        <f t="shared" si="12"/>
        <v>0.15206415206415205</v>
      </c>
      <c r="J41" s="2">
        <f t="shared" si="13"/>
        <v>1.5358479358479338E-3</v>
      </c>
      <c r="K41" t="str">
        <f t="shared" si="14"/>
        <v>&lt;=10</v>
      </c>
      <c r="L41" s="12">
        <f t="shared" si="7"/>
        <v>1.01E-2</v>
      </c>
    </row>
    <row r="42" spans="1:12" hidden="1" x14ac:dyDescent="0.35">
      <c r="A42" t="s">
        <v>389</v>
      </c>
      <c r="B42" t="s">
        <v>390</v>
      </c>
      <c r="C42">
        <v>8.2830000000000001E-2</v>
      </c>
      <c r="D42" t="s">
        <v>391</v>
      </c>
      <c r="E42">
        <f t="shared" ca="1" si="8"/>
        <v>2.931293974203357E-2</v>
      </c>
      <c r="F42">
        <f t="shared" ca="1" si="9"/>
        <v>-1.2807955613917024E-2</v>
      </c>
      <c r="G42">
        <f t="shared" ca="1" si="10"/>
        <v>8.2524920640582727E-3</v>
      </c>
      <c r="H42" t="str">
        <f t="shared" si="11"/>
        <v>0.05-0.5</v>
      </c>
      <c r="I42">
        <f t="shared" si="12"/>
        <v>8.1429414077860793E-2</v>
      </c>
      <c r="J42" s="2">
        <f t="shared" si="13"/>
        <v>1.4005859221392081E-3</v>
      </c>
      <c r="K42" t="str">
        <f t="shared" si="14"/>
        <v>&lt;=10</v>
      </c>
      <c r="L42" s="12">
        <f t="shared" si="7"/>
        <v>1.72E-2</v>
      </c>
    </row>
    <row r="43" spans="1:12" hidden="1" x14ac:dyDescent="0.35">
      <c r="A43" t="s">
        <v>426</v>
      </c>
      <c r="B43" t="s">
        <v>427</v>
      </c>
      <c r="C43">
        <v>5.638E-2</v>
      </c>
      <c r="D43" t="s">
        <v>428</v>
      </c>
      <c r="E43">
        <f t="shared" ca="1" si="8"/>
        <v>-1.6223091015984823E-2</v>
      </c>
      <c r="F43">
        <f t="shared" ca="1" si="9"/>
        <v>0.11871735391264875</v>
      </c>
      <c r="G43">
        <f t="shared" ca="1" si="10"/>
        <v>5.1247131448331963E-2</v>
      </c>
      <c r="H43" t="str">
        <f t="shared" si="11"/>
        <v>0.05-0.5</v>
      </c>
      <c r="I43">
        <f t="shared" si="12"/>
        <v>5.5015612802498053E-2</v>
      </c>
      <c r="J43" s="2">
        <f t="shared" si="13"/>
        <v>1.364387197501947E-3</v>
      </c>
      <c r="K43" t="str">
        <f t="shared" si="14"/>
        <v>&lt;=10</v>
      </c>
      <c r="L43" s="12">
        <f t="shared" si="7"/>
        <v>2.4799999999999999E-2</v>
      </c>
    </row>
    <row r="44" spans="1:12" hidden="1" x14ac:dyDescent="0.35">
      <c r="A44" t="s">
        <v>88</v>
      </c>
      <c r="B44" t="s">
        <v>89</v>
      </c>
      <c r="C44">
        <v>0.1205</v>
      </c>
      <c r="D44" t="s">
        <v>90</v>
      </c>
      <c r="E44">
        <f t="shared" ca="1" si="8"/>
        <v>1.0762716242423599E-2</v>
      </c>
      <c r="F44">
        <f t="shared" ca="1" si="9"/>
        <v>-1.997909516474191E-2</v>
      </c>
      <c r="G44">
        <f t="shared" ca="1" si="10"/>
        <v>-4.6081894611591555E-3</v>
      </c>
      <c r="H44" t="str">
        <f t="shared" si="11"/>
        <v>0.05-0.5</v>
      </c>
      <c r="I44">
        <f t="shared" si="12"/>
        <v>0.11914178366620524</v>
      </c>
      <c r="J44" s="2">
        <f t="shared" si="13"/>
        <v>1.3582163337947512E-3</v>
      </c>
      <c r="K44" t="str">
        <f t="shared" si="14"/>
        <v>&lt;=10</v>
      </c>
      <c r="L44" s="12">
        <f t="shared" si="7"/>
        <v>1.14E-2</v>
      </c>
    </row>
    <row r="45" spans="1:12" hidden="1" x14ac:dyDescent="0.35">
      <c r="A45" t="s">
        <v>324</v>
      </c>
      <c r="B45" t="s">
        <v>325</v>
      </c>
      <c r="C45">
        <v>9.2256000000000005E-2</v>
      </c>
      <c r="D45" t="s">
        <v>326</v>
      </c>
      <c r="E45">
        <f t="shared" ca="1" si="8"/>
        <v>-2.4911432008746837E-2</v>
      </c>
      <c r="F45">
        <f t="shared" ca="1" si="9"/>
        <v>7.066034746693492E-2</v>
      </c>
      <c r="G45">
        <f t="shared" ca="1" si="10"/>
        <v>2.2874457729094043E-2</v>
      </c>
      <c r="H45" t="str">
        <f t="shared" si="11"/>
        <v>0.05-0.5</v>
      </c>
      <c r="I45">
        <f t="shared" si="12"/>
        <v>9.0964306842831799E-2</v>
      </c>
      <c r="J45" s="2">
        <f t="shared" si="13"/>
        <v>1.2916931571682055E-3</v>
      </c>
      <c r="K45" t="str">
        <f t="shared" si="14"/>
        <v>&lt;=10</v>
      </c>
      <c r="L45" s="12">
        <f t="shared" si="7"/>
        <v>1.4200000000000001E-2</v>
      </c>
    </row>
    <row r="46" spans="1:12" hidden="1" x14ac:dyDescent="0.35">
      <c r="A46" t="s">
        <v>137</v>
      </c>
      <c r="B46" t="s">
        <v>138</v>
      </c>
      <c r="C46">
        <v>7.8759999999999997E-2</v>
      </c>
      <c r="D46" t="s">
        <v>139</v>
      </c>
      <c r="E46">
        <f t="shared" ca="1" si="8"/>
        <v>6.2281527282400852E-3</v>
      </c>
      <c r="F46">
        <f t="shared" ca="1" si="9"/>
        <v>9.1605215189944651E-3</v>
      </c>
      <c r="G46">
        <f t="shared" ca="1" si="10"/>
        <v>7.6943371236172751E-3</v>
      </c>
      <c r="H46" t="str">
        <f t="shared" si="11"/>
        <v>0.05-0.5</v>
      </c>
      <c r="I46">
        <f t="shared" si="12"/>
        <v>7.7512055900009841E-2</v>
      </c>
      <c r="J46" s="2">
        <f t="shared" si="13"/>
        <v>1.2479440999901559E-3</v>
      </c>
      <c r="K46" t="str">
        <f t="shared" si="14"/>
        <v>&lt;=10</v>
      </c>
      <c r="L46" s="12">
        <f t="shared" si="7"/>
        <v>1.61E-2</v>
      </c>
    </row>
    <row r="47" spans="1:12" hidden="1" x14ac:dyDescent="0.35">
      <c r="A47" t="s">
        <v>462</v>
      </c>
      <c r="B47" t="s">
        <v>463</v>
      </c>
      <c r="C47">
        <v>7.8279999999999999E-3</v>
      </c>
      <c r="D47" t="s">
        <v>464</v>
      </c>
      <c r="E47">
        <f t="shared" ca="1" si="8"/>
        <v>0.17923483080008812</v>
      </c>
      <c r="F47">
        <f t="shared" ca="1" si="9"/>
        <v>0.2202020689769556</v>
      </c>
      <c r="G47">
        <f t="shared" ca="1" si="10"/>
        <v>0.19971844988852186</v>
      </c>
      <c r="H47" t="str">
        <f t="shared" si="11"/>
        <v>0-0.05</v>
      </c>
      <c r="I47">
        <f t="shared" si="12"/>
        <v>6.5897802845357352E-3</v>
      </c>
      <c r="J47" s="2">
        <f t="shared" si="13"/>
        <v>1.2382197154642647E-3</v>
      </c>
      <c r="K47" t="str">
        <f t="shared" si="14"/>
        <v>&lt;=10</v>
      </c>
      <c r="L47" s="12">
        <f t="shared" si="7"/>
        <v>0.18790000000000001</v>
      </c>
    </row>
    <row r="48" spans="1:12" hidden="1" x14ac:dyDescent="0.35">
      <c r="A48" t="s">
        <v>188</v>
      </c>
      <c r="B48" t="s">
        <v>189</v>
      </c>
      <c r="C48">
        <v>2.13</v>
      </c>
      <c r="D48" t="s">
        <v>190</v>
      </c>
      <c r="E48">
        <f t="shared" ca="1" si="8"/>
        <v>-2.6360910782838688E-2</v>
      </c>
      <c r="F48">
        <f t="shared" ca="1" si="9"/>
        <v>-2.9440162667510251E-2</v>
      </c>
      <c r="G48">
        <f t="shared" ca="1" si="10"/>
        <v>-2.7900536725174469E-2</v>
      </c>
      <c r="H48" t="str">
        <f t="shared" si="11"/>
        <v>0.5-5</v>
      </c>
      <c r="I48">
        <f t="shared" si="12"/>
        <v>2.128935532233883</v>
      </c>
      <c r="J48" s="2">
        <f t="shared" si="13"/>
        <v>1.0644677661169055E-3</v>
      </c>
      <c r="K48" t="str">
        <f t="shared" si="14"/>
        <v>&lt;=10</v>
      </c>
      <c r="L48" s="12">
        <f t="shared" si="7"/>
        <v>5.0000000000000001E-4</v>
      </c>
    </row>
    <row r="49" spans="1:12" hidden="1" x14ac:dyDescent="0.35">
      <c r="A49" t="s">
        <v>131</v>
      </c>
      <c r="B49" t="s">
        <v>132</v>
      </c>
      <c r="C49">
        <v>9.5740000000000006E-2</v>
      </c>
      <c r="D49" t="s">
        <v>133</v>
      </c>
      <c r="E49">
        <f t="shared" ca="1" si="8"/>
        <v>3.6866530305569335E-2</v>
      </c>
      <c r="F49">
        <f t="shared" ca="1" si="9"/>
        <v>-5.6489102302995885E-2</v>
      </c>
      <c r="G49">
        <f t="shared" ca="1" si="10"/>
        <v>-9.8112859987132747E-3</v>
      </c>
      <c r="H49" t="str">
        <f t="shared" si="11"/>
        <v>0.05-0.5</v>
      </c>
      <c r="I49">
        <f t="shared" si="12"/>
        <v>9.470768622019983E-2</v>
      </c>
      <c r="J49" s="2">
        <f t="shared" si="13"/>
        <v>1.0323137798001758E-3</v>
      </c>
      <c r="K49" t="str">
        <f t="shared" si="14"/>
        <v>&lt;=10</v>
      </c>
      <c r="L49" s="12">
        <f t="shared" si="7"/>
        <v>1.09E-2</v>
      </c>
    </row>
    <row r="50" spans="1:12" hidden="1" x14ac:dyDescent="0.35">
      <c r="A50" t="s">
        <v>140</v>
      </c>
      <c r="B50" t="s">
        <v>141</v>
      </c>
      <c r="C50">
        <v>4.2049999999999997E-2</v>
      </c>
      <c r="D50" t="s">
        <v>142</v>
      </c>
      <c r="E50">
        <f t="shared" ca="1" si="8"/>
        <v>4.6403823382533502E-2</v>
      </c>
      <c r="F50">
        <f t="shared" ca="1" si="9"/>
        <v>7.8587890312482908E-2</v>
      </c>
      <c r="G50">
        <f t="shared" ca="1" si="10"/>
        <v>6.2495856847508205E-2</v>
      </c>
      <c r="H50" t="str">
        <f t="shared" si="11"/>
        <v>0-0.05</v>
      </c>
      <c r="I50">
        <f t="shared" si="12"/>
        <v>4.1048418586489652E-2</v>
      </c>
      <c r="J50" s="2">
        <f t="shared" si="13"/>
        <v>1.0015814135103454E-3</v>
      </c>
      <c r="K50" t="str">
        <f t="shared" si="14"/>
        <v>&lt;=10</v>
      </c>
      <c r="L50" s="12">
        <f t="shared" si="7"/>
        <v>2.4400000000000002E-2</v>
      </c>
    </row>
    <row r="51" spans="1:12" hidden="1" x14ac:dyDescent="0.35">
      <c r="A51" t="s">
        <v>277</v>
      </c>
      <c r="B51" t="s">
        <v>278</v>
      </c>
      <c r="C51">
        <v>0.3211</v>
      </c>
      <c r="D51" t="s">
        <v>179</v>
      </c>
      <c r="E51">
        <f t="shared" ca="1" si="8"/>
        <v>2.5164030695699564E-2</v>
      </c>
      <c r="F51">
        <f t="shared" ca="1" si="9"/>
        <v>3.7423909865709787E-2</v>
      </c>
      <c r="G51">
        <f t="shared" ca="1" si="10"/>
        <v>3.1293970280704672E-2</v>
      </c>
      <c r="H51" t="str">
        <f t="shared" si="11"/>
        <v>0.05-0.5</v>
      </c>
      <c r="I51">
        <f t="shared" si="12"/>
        <v>0.32010766623467246</v>
      </c>
      <c r="J51" s="2">
        <f t="shared" si="13"/>
        <v>9.9233376532753548E-4</v>
      </c>
      <c r="K51" t="str">
        <f t="shared" si="14"/>
        <v>&lt;=10</v>
      </c>
      <c r="L51" s="12">
        <f t="shared" si="7"/>
        <v>3.0999999999999999E-3</v>
      </c>
    </row>
    <row r="52" spans="1:12" hidden="1" x14ac:dyDescent="0.35">
      <c r="A52" t="s">
        <v>24</v>
      </c>
      <c r="B52" t="s">
        <v>25</v>
      </c>
      <c r="C52">
        <v>0.27339999999999998</v>
      </c>
      <c r="D52" t="s">
        <v>26</v>
      </c>
      <c r="E52">
        <f t="shared" ca="1" si="8"/>
        <v>-2.7293419551753677E-2</v>
      </c>
      <c r="F52">
        <f t="shared" ca="1" si="9"/>
        <v>3.902824303208105E-2</v>
      </c>
      <c r="G52">
        <f t="shared" ca="1" si="10"/>
        <v>5.8674117401636867E-3</v>
      </c>
      <c r="H52" t="str">
        <f t="shared" si="11"/>
        <v>0.05-0.5</v>
      </c>
      <c r="I52">
        <f t="shared" si="12"/>
        <v>0.27241929055400554</v>
      </c>
      <c r="J52" s="2">
        <f t="shared" si="13"/>
        <v>9.8070944599443211E-4</v>
      </c>
      <c r="K52" t="str">
        <f t="shared" si="14"/>
        <v>&lt;=10</v>
      </c>
      <c r="L52" s="12">
        <f t="shared" si="7"/>
        <v>3.5999999999999999E-3</v>
      </c>
    </row>
    <row r="53" spans="1:12" hidden="1" x14ac:dyDescent="0.35">
      <c r="A53" t="s">
        <v>207</v>
      </c>
      <c r="B53" t="s">
        <v>208</v>
      </c>
      <c r="C53">
        <v>0.12790000000000001</v>
      </c>
      <c r="D53" t="s">
        <v>11</v>
      </c>
      <c r="E53">
        <f t="shared" ca="1" si="8"/>
        <v>3.02468928503727E-2</v>
      </c>
      <c r="F53">
        <f t="shared" ca="1" si="9"/>
        <v>-2.8470185374658227E-2</v>
      </c>
      <c r="G53">
        <f t="shared" ca="1" si="10"/>
        <v>8.8835373785723683E-4</v>
      </c>
      <c r="H53" t="str">
        <f t="shared" si="11"/>
        <v>0.05-0.5</v>
      </c>
      <c r="I53">
        <f t="shared" si="12"/>
        <v>0.12693529178245336</v>
      </c>
      <c r="J53" s="2">
        <f t="shared" si="13"/>
        <v>9.6470821754665592E-4</v>
      </c>
      <c r="K53" t="str">
        <f t="shared" si="14"/>
        <v>&lt;=10</v>
      </c>
      <c r="L53" s="12">
        <f t="shared" si="7"/>
        <v>7.6E-3</v>
      </c>
    </row>
    <row r="54" spans="1:12" hidden="1" x14ac:dyDescent="0.35">
      <c r="A54" t="s">
        <v>291</v>
      </c>
      <c r="B54" t="s">
        <v>292</v>
      </c>
      <c r="C54">
        <v>0.42120000000000002</v>
      </c>
      <c r="D54" t="s">
        <v>293</v>
      </c>
      <c r="E54">
        <f t="shared" ca="1" si="8"/>
        <v>4.9006981982236117E-2</v>
      </c>
      <c r="F54">
        <f t="shared" ca="1" si="9"/>
        <v>-7.0505958201420568E-2</v>
      </c>
      <c r="G54">
        <f t="shared" ca="1" si="10"/>
        <v>-1.0749488109592226E-2</v>
      </c>
      <c r="H54" t="str">
        <f t="shared" si="11"/>
        <v>0.05-0.5</v>
      </c>
      <c r="I54">
        <f t="shared" si="12"/>
        <v>0.42027539413290765</v>
      </c>
      <c r="J54" s="2">
        <f t="shared" si="13"/>
        <v>9.2460586709236514E-4</v>
      </c>
      <c r="K54" t="str">
        <f t="shared" si="14"/>
        <v>&lt;=10</v>
      </c>
      <c r="L54" s="12">
        <f t="shared" si="7"/>
        <v>2.2000000000000001E-3</v>
      </c>
    </row>
    <row r="55" spans="1:12" hidden="1" x14ac:dyDescent="0.35">
      <c r="A55" t="s">
        <v>231</v>
      </c>
      <c r="B55" t="s">
        <v>232</v>
      </c>
      <c r="C55">
        <v>2.0410000000000001E-2</v>
      </c>
      <c r="D55" t="s">
        <v>233</v>
      </c>
      <c r="E55">
        <f t="shared" ca="1" si="8"/>
        <v>4.2008299227926045E-2</v>
      </c>
      <c r="F55">
        <f t="shared" ca="1" si="9"/>
        <v>6.7985220016580944E-2</v>
      </c>
      <c r="G55">
        <f t="shared" ca="1" si="10"/>
        <v>5.4996759622253491E-2</v>
      </c>
      <c r="H55" t="str">
        <f t="shared" si="11"/>
        <v>0-0.05</v>
      </c>
      <c r="I55">
        <f t="shared" si="12"/>
        <v>1.9579815809669995E-2</v>
      </c>
      <c r="J55" s="2">
        <f t="shared" si="13"/>
        <v>8.301841903300064E-4</v>
      </c>
      <c r="K55" t="str">
        <f t="shared" si="14"/>
        <v>&lt;=10</v>
      </c>
      <c r="L55" s="12">
        <f t="shared" si="7"/>
        <v>4.24E-2</v>
      </c>
    </row>
    <row r="56" spans="1:12" hidden="1" x14ac:dyDescent="0.35">
      <c r="A56" t="s">
        <v>111</v>
      </c>
      <c r="B56" t="s">
        <v>112</v>
      </c>
      <c r="C56">
        <v>0.1537</v>
      </c>
      <c r="D56" t="s">
        <v>113</v>
      </c>
      <c r="E56">
        <f t="shared" ca="1" si="8"/>
        <v>1.8986191506776114E-2</v>
      </c>
      <c r="F56">
        <f t="shared" ca="1" si="9"/>
        <v>-6.9374731112164967E-2</v>
      </c>
      <c r="G56">
        <f t="shared" ca="1" si="10"/>
        <v>-2.5194269802694427E-2</v>
      </c>
      <c r="H56" t="str">
        <f t="shared" si="11"/>
        <v>0.05-0.5</v>
      </c>
      <c r="I56">
        <f t="shared" si="12"/>
        <v>0.15287447781977323</v>
      </c>
      <c r="J56" s="2">
        <f t="shared" si="13"/>
        <v>8.2552218022677315E-4</v>
      </c>
      <c r="K56" t="str">
        <f t="shared" si="14"/>
        <v>&lt;=10</v>
      </c>
      <c r="L56" s="12">
        <f t="shared" si="7"/>
        <v>5.4000000000000003E-3</v>
      </c>
    </row>
    <row r="57" spans="1:12" hidden="1" x14ac:dyDescent="0.35">
      <c r="A57" t="s">
        <v>214</v>
      </c>
      <c r="B57" t="s">
        <v>215</v>
      </c>
      <c r="C57">
        <v>5.6509999999999998E-2</v>
      </c>
      <c r="D57" t="s">
        <v>216</v>
      </c>
      <c r="E57">
        <f t="shared" ca="1" si="8"/>
        <v>-1.0020397400727446E-2</v>
      </c>
      <c r="F57">
        <f t="shared" ca="1" si="9"/>
        <v>-5.3277995130147443E-2</v>
      </c>
      <c r="G57">
        <f t="shared" ca="1" si="10"/>
        <v>-3.1649196265437447E-2</v>
      </c>
      <c r="H57" t="str">
        <f t="shared" si="11"/>
        <v>0.05-0.5</v>
      </c>
      <c r="I57">
        <f t="shared" si="12"/>
        <v>5.5696826335501673E-2</v>
      </c>
      <c r="J57" s="2">
        <f t="shared" si="13"/>
        <v>8.1317366449832479E-4</v>
      </c>
      <c r="K57" t="str">
        <f t="shared" si="14"/>
        <v>&lt;=10</v>
      </c>
      <c r="L57" s="12">
        <f t="shared" si="7"/>
        <v>1.46E-2</v>
      </c>
    </row>
    <row r="58" spans="1:12" hidden="1" x14ac:dyDescent="0.35">
      <c r="A58" t="s">
        <v>117</v>
      </c>
      <c r="B58" t="s">
        <v>118</v>
      </c>
      <c r="C58">
        <v>7.1980000000000002E-2</v>
      </c>
      <c r="D58" t="s">
        <v>90</v>
      </c>
      <c r="E58">
        <f t="shared" ca="1" si="8"/>
        <v>4.4796581784658875E-2</v>
      </c>
      <c r="F58">
        <f t="shared" ca="1" si="9"/>
        <v>2.1109771382583999E-2</v>
      </c>
      <c r="G58">
        <f t="shared" ca="1" si="10"/>
        <v>3.2953176583621437E-2</v>
      </c>
      <c r="H58" t="str">
        <f t="shared" si="11"/>
        <v>0.05-0.5</v>
      </c>
      <c r="I58">
        <f t="shared" si="12"/>
        <v>7.1168677081273474E-2</v>
      </c>
      <c r="J58" s="2">
        <f t="shared" si="13"/>
        <v>8.1132291872652862E-4</v>
      </c>
      <c r="K58" t="str">
        <f t="shared" si="14"/>
        <v>&lt;=10</v>
      </c>
      <c r="L58" s="12">
        <f t="shared" si="7"/>
        <v>1.14E-2</v>
      </c>
    </row>
    <row r="59" spans="1:12" hidden="1" x14ac:dyDescent="0.35">
      <c r="A59" t="s">
        <v>161</v>
      </c>
      <c r="B59" t="s">
        <v>162</v>
      </c>
      <c r="C59">
        <v>1.1499999999999999</v>
      </c>
      <c r="D59" t="s">
        <v>163</v>
      </c>
      <c r="E59">
        <f t="shared" ca="1" si="8"/>
        <v>-2.9368602481719755E-2</v>
      </c>
      <c r="F59">
        <f t="shared" ca="1" si="9"/>
        <v>-9.5854520738296686E-2</v>
      </c>
      <c r="G59">
        <f t="shared" ca="1" si="10"/>
        <v>-6.2611561610008221E-2</v>
      </c>
      <c r="H59" t="str">
        <f t="shared" si="11"/>
        <v>0.5-5</v>
      </c>
      <c r="I59">
        <f t="shared" si="12"/>
        <v>1.1491955631058259</v>
      </c>
      <c r="J59" s="2">
        <f t="shared" si="13"/>
        <v>8.0443689417397657E-4</v>
      </c>
      <c r="K59" t="str">
        <f t="shared" si="14"/>
        <v>&lt;=10</v>
      </c>
      <c r="L59" s="12">
        <f t="shared" si="7"/>
        <v>6.9999999999999999E-4</v>
      </c>
    </row>
    <row r="60" spans="1:12" hidden="1" x14ac:dyDescent="0.35">
      <c r="A60" t="s">
        <v>158</v>
      </c>
      <c r="B60" t="s">
        <v>159</v>
      </c>
      <c r="C60">
        <v>8.6260000000000003E-2</v>
      </c>
      <c r="D60" t="s">
        <v>160</v>
      </c>
      <c r="E60">
        <f t="shared" ca="1" si="8"/>
        <v>-8.2393383329627187E-3</v>
      </c>
      <c r="F60">
        <f t="shared" ca="1" si="9"/>
        <v>7.5092957973028104E-2</v>
      </c>
      <c r="G60">
        <f t="shared" ca="1" si="10"/>
        <v>3.3426809820032696E-2</v>
      </c>
      <c r="H60" t="str">
        <f t="shared" si="11"/>
        <v>0.05-0.5</v>
      </c>
      <c r="I60">
        <f t="shared" si="12"/>
        <v>8.5473642489100277E-2</v>
      </c>
      <c r="J60" s="2">
        <f t="shared" si="13"/>
        <v>7.8635751089972672E-4</v>
      </c>
      <c r="K60" t="str">
        <f t="shared" si="14"/>
        <v>&lt;=10</v>
      </c>
      <c r="L60" s="12">
        <f t="shared" si="7"/>
        <v>9.1999999999999998E-3</v>
      </c>
    </row>
    <row r="61" spans="1:12" hidden="1" x14ac:dyDescent="0.35">
      <c r="A61" t="s">
        <v>108</v>
      </c>
      <c r="B61" t="s">
        <v>109</v>
      </c>
      <c r="C61">
        <v>0.1111</v>
      </c>
      <c r="D61" t="s">
        <v>110</v>
      </c>
      <c r="E61">
        <f t="shared" ca="1" si="8"/>
        <v>5.1906568643890254E-2</v>
      </c>
      <c r="F61">
        <f t="shared" ca="1" si="9"/>
        <v>1.1508565568233436E-2</v>
      </c>
      <c r="G61">
        <f t="shared" ca="1" si="10"/>
        <v>3.1707567106061846E-2</v>
      </c>
      <c r="H61" t="str">
        <f t="shared" si="11"/>
        <v>0.05-0.5</v>
      </c>
      <c r="I61">
        <f t="shared" si="12"/>
        <v>0.1103167510674213</v>
      </c>
      <c r="J61" s="2">
        <f t="shared" si="13"/>
        <v>7.8324893257870898E-4</v>
      </c>
      <c r="K61" t="str">
        <f t="shared" si="14"/>
        <v>&lt;=10</v>
      </c>
      <c r="L61" s="12">
        <f t="shared" si="7"/>
        <v>7.1000000000000004E-3</v>
      </c>
    </row>
    <row r="62" spans="1:12" hidden="1" x14ac:dyDescent="0.35">
      <c r="A62" t="s">
        <v>197</v>
      </c>
      <c r="B62" t="s">
        <v>198</v>
      </c>
      <c r="C62">
        <v>0.2442</v>
      </c>
      <c r="D62" t="s">
        <v>93</v>
      </c>
      <c r="E62">
        <f t="shared" ca="1" si="8"/>
        <v>6.3005537606576059E-4</v>
      </c>
      <c r="F62">
        <f t="shared" ca="1" si="9"/>
        <v>4.3916072562277648E-2</v>
      </c>
      <c r="G62">
        <f t="shared" ca="1" si="10"/>
        <v>2.2273063969171704E-2</v>
      </c>
      <c r="H62" t="str">
        <f t="shared" si="11"/>
        <v>0.05-0.5</v>
      </c>
      <c r="I62">
        <f t="shared" si="12"/>
        <v>0.24342105263157893</v>
      </c>
      <c r="J62" s="2">
        <f t="shared" si="13"/>
        <v>7.7894736842107348E-4</v>
      </c>
      <c r="K62" t="str">
        <f t="shared" si="14"/>
        <v>&lt;=10</v>
      </c>
      <c r="L62" s="12">
        <f t="shared" si="7"/>
        <v>3.2000000000000002E-3</v>
      </c>
    </row>
    <row r="63" spans="1:12" hidden="1" x14ac:dyDescent="0.35">
      <c r="A63" t="s">
        <v>345</v>
      </c>
      <c r="B63" t="s">
        <v>346</v>
      </c>
      <c r="C63">
        <v>3.9579999999999997E-2</v>
      </c>
      <c r="D63" t="s">
        <v>347</v>
      </c>
      <c r="E63">
        <f t="shared" ca="1" si="8"/>
        <v>1.4806818660276281E-2</v>
      </c>
      <c r="F63">
        <f t="shared" ca="1" si="9"/>
        <v>8.8321112823083386E-2</v>
      </c>
      <c r="G63">
        <f t="shared" ca="1" si="10"/>
        <v>5.1563965741679832E-2</v>
      </c>
      <c r="H63" t="str">
        <f t="shared" si="11"/>
        <v>0-0.05</v>
      </c>
      <c r="I63">
        <f t="shared" si="12"/>
        <v>3.8815337844464053E-2</v>
      </c>
      <c r="J63" s="2">
        <f t="shared" si="13"/>
        <v>7.6466215553594452E-4</v>
      </c>
      <c r="K63" t="str">
        <f t="shared" si="14"/>
        <v>&lt;=10</v>
      </c>
      <c r="L63" s="12">
        <f t="shared" si="7"/>
        <v>1.9699999999999999E-2</v>
      </c>
    </row>
    <row r="64" spans="1:12" hidden="1" x14ac:dyDescent="0.35">
      <c r="A64" t="s">
        <v>417</v>
      </c>
      <c r="B64" t="s">
        <v>418</v>
      </c>
      <c r="C64">
        <v>2.632E-2</v>
      </c>
      <c r="D64" t="s">
        <v>419</v>
      </c>
      <c r="E64">
        <f t="shared" ca="1" si="8"/>
        <v>7.379747759950854E-2</v>
      </c>
      <c r="F64">
        <f t="shared" ca="1" si="9"/>
        <v>-7.0624146356486589E-2</v>
      </c>
      <c r="G64">
        <f t="shared" ca="1" si="10"/>
        <v>1.5866656215109756E-3</v>
      </c>
      <c r="H64" t="str">
        <f t="shared" si="11"/>
        <v>0-0.05</v>
      </c>
      <c r="I64">
        <f t="shared" si="12"/>
        <v>2.563553131391838E-2</v>
      </c>
      <c r="J64" s="2">
        <f t="shared" si="13"/>
        <v>6.8446868608161918E-4</v>
      </c>
      <c r="K64" t="str">
        <f t="shared" si="14"/>
        <v>&lt;=10</v>
      </c>
      <c r="L64" s="12">
        <f t="shared" si="7"/>
        <v>2.6700000000000002E-2</v>
      </c>
    </row>
    <row r="65" spans="1:12" hidden="1" x14ac:dyDescent="0.35">
      <c r="A65" t="s">
        <v>444</v>
      </c>
      <c r="B65" t="s">
        <v>445</v>
      </c>
      <c r="C65">
        <v>0.73839999999999995</v>
      </c>
      <c r="D65" t="s">
        <v>410</v>
      </c>
      <c r="E65">
        <f t="shared" ca="1" si="8"/>
        <v>-3.0218309571778002E-2</v>
      </c>
      <c r="F65">
        <f t="shared" ca="1" si="9"/>
        <v>5.5943664946876734E-2</v>
      </c>
      <c r="G65">
        <f t="shared" ca="1" si="10"/>
        <v>1.2862677687549366E-2</v>
      </c>
      <c r="H65" t="str">
        <f t="shared" si="11"/>
        <v>0.5-5</v>
      </c>
      <c r="I65">
        <f t="shared" si="12"/>
        <v>0.73773603756619044</v>
      </c>
      <c r="J65" s="2">
        <f t="shared" si="13"/>
        <v>6.6396243380950626E-4</v>
      </c>
      <c r="K65" t="str">
        <f t="shared" si="14"/>
        <v>&lt;=10</v>
      </c>
      <c r="L65" s="12">
        <f t="shared" si="7"/>
        <v>8.9999999999999998E-4</v>
      </c>
    </row>
    <row r="66" spans="1:12" hidden="1" x14ac:dyDescent="0.35">
      <c r="A66" t="s">
        <v>94</v>
      </c>
      <c r="B66" t="s">
        <v>95</v>
      </c>
      <c r="C66">
        <v>0.1043</v>
      </c>
      <c r="D66" t="s">
        <v>96</v>
      </c>
      <c r="E66">
        <f t="shared" ref="E66:E97" ca="1" si="15">D66 + (RAND()-0.5)/10</f>
        <v>4.8606389798087964E-2</v>
      </c>
      <c r="F66">
        <f t="shared" ref="F66:F97" ca="1" si="16">D66 + (RAND()-0.5)/5</f>
        <v>0.10229365637002177</v>
      </c>
      <c r="G66">
        <f t="shared" ref="G66:G97" ca="1" si="17">AVERAGE(D66,E66,F66)</f>
        <v>7.5450023084054865E-2</v>
      </c>
      <c r="H66" t="str">
        <f t="shared" ref="H66:H97" si="18">IF(C66&lt;=0.05,"0-0.05",
IF(C66&lt;=0.5,"0.05-0.5",
IF(C66&lt;=5,"0.5-5",
IF(C66&lt;=50,"5-50","&gt;50"))))</f>
        <v>0.05-0.5</v>
      </c>
      <c r="I66">
        <f t="shared" ref="I66:I97" si="19">C66/(1+D66)</f>
        <v>0.10364702375037266</v>
      </c>
      <c r="J66" s="2">
        <f t="shared" ref="J66:J97" si="20">C66-I66</f>
        <v>6.5297624962734613E-4</v>
      </c>
      <c r="K66" t="str">
        <f t="shared" ref="K66:K97" si="21">IF(C66&lt;=10,"&lt;=10","&gt;=10")</f>
        <v>&lt;=10</v>
      </c>
      <c r="L66" s="12">
        <f t="shared" ref="L66:L129" si="22">VALUE(D66)</f>
        <v>6.3E-3</v>
      </c>
    </row>
    <row r="67" spans="1:12" hidden="1" x14ac:dyDescent="0.35">
      <c r="A67" t="s">
        <v>381</v>
      </c>
      <c r="B67" t="s">
        <v>381</v>
      </c>
      <c r="C67">
        <v>5.3982000000000002E-2</v>
      </c>
      <c r="D67" t="s">
        <v>245</v>
      </c>
      <c r="E67">
        <f t="shared" ca="1" si="15"/>
        <v>2.8355429429902891E-3</v>
      </c>
      <c r="F67">
        <f t="shared" ca="1" si="16"/>
        <v>-7.1149588686697934E-2</v>
      </c>
      <c r="G67">
        <f t="shared" ca="1" si="17"/>
        <v>-3.415702287185382E-2</v>
      </c>
      <c r="H67" t="str">
        <f t="shared" si="18"/>
        <v>0.05-0.5</v>
      </c>
      <c r="I67">
        <f t="shared" si="19"/>
        <v>5.3426365795724469E-2</v>
      </c>
      <c r="J67" s="2">
        <f t="shared" si="20"/>
        <v>5.5563420427553328E-4</v>
      </c>
      <c r="K67" t="str">
        <f t="shared" si="21"/>
        <v>&lt;=10</v>
      </c>
      <c r="L67" s="12">
        <f t="shared" si="22"/>
        <v>1.04E-2</v>
      </c>
    </row>
    <row r="68" spans="1:12" hidden="1" x14ac:dyDescent="0.35">
      <c r="A68" t="s">
        <v>493</v>
      </c>
      <c r="B68" t="s">
        <v>494</v>
      </c>
      <c r="C68">
        <v>4.4560000000000002E-2</v>
      </c>
      <c r="D68" t="s">
        <v>227</v>
      </c>
      <c r="E68">
        <f t="shared" ca="1" si="15"/>
        <v>3.1596131676790574E-2</v>
      </c>
      <c r="F68">
        <f t="shared" ca="1" si="16"/>
        <v>-5.0998139830190317E-2</v>
      </c>
      <c r="G68">
        <f t="shared" ca="1" si="17"/>
        <v>-9.7010040766998713E-3</v>
      </c>
      <c r="H68" t="str">
        <f t="shared" si="18"/>
        <v>0-0.05</v>
      </c>
      <c r="I68">
        <f t="shared" si="19"/>
        <v>4.4005530317993292E-2</v>
      </c>
      <c r="J68" s="2">
        <f t="shared" si="20"/>
        <v>5.5446968200670993E-4</v>
      </c>
      <c r="K68" t="str">
        <f t="shared" si="21"/>
        <v>&lt;=10</v>
      </c>
      <c r="L68" s="12">
        <f t="shared" si="22"/>
        <v>1.26E-2</v>
      </c>
    </row>
    <row r="69" spans="1:12" hidden="1" x14ac:dyDescent="0.35">
      <c r="A69" t="s">
        <v>243</v>
      </c>
      <c r="B69" t="s">
        <v>244</v>
      </c>
      <c r="C69">
        <v>5.1970000000000002E-2</v>
      </c>
      <c r="D69" t="s">
        <v>245</v>
      </c>
      <c r="E69">
        <f t="shared" ca="1" si="15"/>
        <v>2.1980937151108881E-2</v>
      </c>
      <c r="F69">
        <f t="shared" ca="1" si="16"/>
        <v>-8.0142057237220121E-2</v>
      </c>
      <c r="G69">
        <f t="shared" ca="1" si="17"/>
        <v>-2.908056004305562E-2</v>
      </c>
      <c r="H69" t="str">
        <f t="shared" si="18"/>
        <v>0.05-0.5</v>
      </c>
      <c r="I69">
        <f t="shared" si="19"/>
        <v>5.1435075217735556E-2</v>
      </c>
      <c r="J69" s="2">
        <f t="shared" si="20"/>
        <v>5.3492478226444679E-4</v>
      </c>
      <c r="K69" t="str">
        <f t="shared" si="21"/>
        <v>&lt;=10</v>
      </c>
      <c r="L69" s="12">
        <f t="shared" si="22"/>
        <v>1.04E-2</v>
      </c>
    </row>
    <row r="70" spans="1:12" hidden="1" x14ac:dyDescent="0.35">
      <c r="A70" t="s">
        <v>343</v>
      </c>
      <c r="B70" t="s">
        <v>344</v>
      </c>
      <c r="C70">
        <v>0.33090000000000003</v>
      </c>
      <c r="D70" t="s">
        <v>203</v>
      </c>
      <c r="E70">
        <f t="shared" ca="1" si="15"/>
        <v>-2.4834120648044133E-2</v>
      </c>
      <c r="F70">
        <f t="shared" ca="1" si="16"/>
        <v>-8.7409515832184953E-2</v>
      </c>
      <c r="G70">
        <f t="shared" ca="1" si="17"/>
        <v>-5.6121818240114543E-2</v>
      </c>
      <c r="H70" t="str">
        <f t="shared" si="18"/>
        <v>0.05-0.5</v>
      </c>
      <c r="I70">
        <f t="shared" si="19"/>
        <v>0.3304043934098852</v>
      </c>
      <c r="J70" s="2">
        <f t="shared" si="20"/>
        <v>4.9560659011482766E-4</v>
      </c>
      <c r="K70" t="str">
        <f t="shared" si="21"/>
        <v>&lt;=10</v>
      </c>
      <c r="L70" s="12">
        <f t="shared" si="22"/>
        <v>1.5E-3</v>
      </c>
    </row>
    <row r="71" spans="1:12" hidden="1" x14ac:dyDescent="0.35">
      <c r="A71" t="s">
        <v>105</v>
      </c>
      <c r="B71" t="s">
        <v>106</v>
      </c>
      <c r="C71">
        <v>0.16800000000000001</v>
      </c>
      <c r="D71" t="s">
        <v>107</v>
      </c>
      <c r="E71">
        <f t="shared" ca="1" si="15"/>
        <v>-2.7732325482295175E-2</v>
      </c>
      <c r="F71">
        <f t="shared" ca="1" si="16"/>
        <v>1.9138664238638557E-2</v>
      </c>
      <c r="G71">
        <f t="shared" ca="1" si="17"/>
        <v>-4.2968306218283091E-3</v>
      </c>
      <c r="H71" t="str">
        <f t="shared" si="18"/>
        <v>0.05-0.5</v>
      </c>
      <c r="I71">
        <f t="shared" si="19"/>
        <v>0.16751420879449599</v>
      </c>
      <c r="J71" s="2">
        <f t="shared" si="20"/>
        <v>4.8579120550401589E-4</v>
      </c>
      <c r="K71" t="str">
        <f t="shared" si="21"/>
        <v>&lt;=10</v>
      </c>
      <c r="L71" s="12">
        <f t="shared" si="22"/>
        <v>2.8999999999999998E-3</v>
      </c>
    </row>
    <row r="72" spans="1:12" hidden="1" x14ac:dyDescent="0.35">
      <c r="A72" t="s">
        <v>97</v>
      </c>
      <c r="B72" t="s">
        <v>97</v>
      </c>
      <c r="C72">
        <v>5.0279999999999998E-2</v>
      </c>
      <c r="D72" t="s">
        <v>98</v>
      </c>
      <c r="E72">
        <f t="shared" ca="1" si="15"/>
        <v>5.7933453239416212E-2</v>
      </c>
      <c r="F72">
        <f t="shared" ca="1" si="16"/>
        <v>-3.1179951649400059E-2</v>
      </c>
      <c r="G72">
        <f t="shared" ca="1" si="17"/>
        <v>1.3376750795008076E-2</v>
      </c>
      <c r="H72" t="str">
        <f t="shared" si="18"/>
        <v>0.05-0.5</v>
      </c>
      <c r="I72">
        <f t="shared" si="19"/>
        <v>4.9806835066864778E-2</v>
      </c>
      <c r="J72" s="2">
        <f t="shared" si="20"/>
        <v>4.7316493313522001E-4</v>
      </c>
      <c r="K72" t="str">
        <f t="shared" si="21"/>
        <v>&lt;=10</v>
      </c>
      <c r="L72" s="12">
        <f t="shared" si="22"/>
        <v>9.4999999999999998E-3</v>
      </c>
    </row>
    <row r="73" spans="1:12" hidden="1" x14ac:dyDescent="0.35">
      <c r="A73" t="s">
        <v>248</v>
      </c>
      <c r="B73" t="s">
        <v>249</v>
      </c>
      <c r="C73">
        <v>3.0099999999999998E-2</v>
      </c>
      <c r="D73" t="s">
        <v>250</v>
      </c>
      <c r="E73">
        <f t="shared" ca="1" si="15"/>
        <v>-6.6012029870579879E-3</v>
      </c>
      <c r="F73">
        <f t="shared" ca="1" si="16"/>
        <v>1.0603370981048875E-2</v>
      </c>
      <c r="G73">
        <f t="shared" ca="1" si="17"/>
        <v>2.0010839969954435E-3</v>
      </c>
      <c r="H73" t="str">
        <f t="shared" si="18"/>
        <v>0-0.05</v>
      </c>
      <c r="I73">
        <f t="shared" si="19"/>
        <v>2.9631817286867489E-2</v>
      </c>
      <c r="J73" s="2">
        <f t="shared" si="20"/>
        <v>4.6818271313250892E-4</v>
      </c>
      <c r="K73" t="str">
        <f t="shared" si="21"/>
        <v>&lt;=10</v>
      </c>
      <c r="L73" s="12">
        <f t="shared" si="22"/>
        <v>1.5800000000000002E-2</v>
      </c>
    </row>
    <row r="74" spans="1:12" hidden="1" x14ac:dyDescent="0.35">
      <c r="A74" t="s">
        <v>201</v>
      </c>
      <c r="B74" t="s">
        <v>202</v>
      </c>
      <c r="C74">
        <v>0.29930000000000001</v>
      </c>
      <c r="D74" t="s">
        <v>203</v>
      </c>
      <c r="E74">
        <f t="shared" ca="1" si="15"/>
        <v>1.6779665792457796E-2</v>
      </c>
      <c r="F74">
        <f t="shared" ca="1" si="16"/>
        <v>2.1831546444420969E-2</v>
      </c>
      <c r="G74">
        <f t="shared" ca="1" si="17"/>
        <v>1.9305606118439383E-2</v>
      </c>
      <c r="H74" t="str">
        <f t="shared" si="18"/>
        <v>0.05-0.5</v>
      </c>
      <c r="I74">
        <f t="shared" si="19"/>
        <v>0.29885172241637542</v>
      </c>
      <c r="J74" s="2">
        <f t="shared" si="20"/>
        <v>4.4827758362459003E-4</v>
      </c>
      <c r="K74" t="str">
        <f t="shared" si="21"/>
        <v>&lt;=10</v>
      </c>
      <c r="L74" s="12">
        <f t="shared" si="22"/>
        <v>1.5E-3</v>
      </c>
    </row>
    <row r="75" spans="1:12" hidden="1" x14ac:dyDescent="0.35">
      <c r="A75" t="s">
        <v>63</v>
      </c>
      <c r="B75" t="s">
        <v>64</v>
      </c>
      <c r="C75">
        <v>4.45</v>
      </c>
      <c r="D75" t="s">
        <v>62</v>
      </c>
      <c r="E75">
        <f t="shared" ca="1" si="15"/>
        <v>-3.6472780157571258E-2</v>
      </c>
      <c r="F75">
        <f t="shared" ca="1" si="16"/>
        <v>6.9314221441689014E-2</v>
      </c>
      <c r="G75">
        <f t="shared" ca="1" si="17"/>
        <v>1.6420720642058878E-2</v>
      </c>
      <c r="H75" t="str">
        <f t="shared" si="18"/>
        <v>0.5-5</v>
      </c>
      <c r="I75">
        <f t="shared" si="19"/>
        <v>4.4495550444955505</v>
      </c>
      <c r="J75" s="2">
        <f t="shared" si="20"/>
        <v>4.4495550444967336E-4</v>
      </c>
      <c r="K75" t="str">
        <f t="shared" si="21"/>
        <v>&lt;=10</v>
      </c>
      <c r="L75" s="12">
        <f t="shared" si="22"/>
        <v>1E-4</v>
      </c>
    </row>
    <row r="76" spans="1:12" hidden="1" x14ac:dyDescent="0.35">
      <c r="A76" t="s">
        <v>91</v>
      </c>
      <c r="B76" t="s">
        <v>92</v>
      </c>
      <c r="C76">
        <v>0.1336</v>
      </c>
      <c r="D76" t="s">
        <v>93</v>
      </c>
      <c r="E76">
        <f t="shared" ca="1" si="15"/>
        <v>5.2618054369560192E-2</v>
      </c>
      <c r="F76">
        <f t="shared" ca="1" si="16"/>
        <v>8.986156420072379E-2</v>
      </c>
      <c r="G76">
        <f t="shared" ca="1" si="17"/>
        <v>7.1239809285141995E-2</v>
      </c>
      <c r="H76" t="str">
        <f t="shared" si="18"/>
        <v>0.05-0.5</v>
      </c>
      <c r="I76">
        <f t="shared" si="19"/>
        <v>0.13317384370015947</v>
      </c>
      <c r="J76" s="2">
        <f t="shared" si="20"/>
        <v>4.2615629984052439E-4</v>
      </c>
      <c r="K76" t="str">
        <f t="shared" si="21"/>
        <v>&lt;=10</v>
      </c>
      <c r="L76" s="12">
        <f t="shared" si="22"/>
        <v>3.2000000000000002E-3</v>
      </c>
    </row>
    <row r="77" spans="1:12" hidden="1" x14ac:dyDescent="0.35">
      <c r="A77" t="s">
        <v>253</v>
      </c>
      <c r="B77" t="s">
        <v>254</v>
      </c>
      <c r="C77">
        <v>4.41E-2</v>
      </c>
      <c r="D77" t="s">
        <v>32</v>
      </c>
      <c r="E77">
        <f t="shared" ca="1" si="15"/>
        <v>-3.0372111051256291E-2</v>
      </c>
      <c r="F77">
        <f t="shared" ca="1" si="16"/>
        <v>5.0027220062409242E-2</v>
      </c>
      <c r="G77">
        <f t="shared" ca="1" si="17"/>
        <v>9.8275545055764753E-3</v>
      </c>
      <c r="H77" t="str">
        <f t="shared" si="18"/>
        <v>0-0.05</v>
      </c>
      <c r="I77">
        <f t="shared" si="19"/>
        <v>4.3680665610142631E-2</v>
      </c>
      <c r="J77" s="2">
        <f t="shared" si="20"/>
        <v>4.1933438985736898E-4</v>
      </c>
      <c r="K77" t="str">
        <f t="shared" si="21"/>
        <v>&lt;=10</v>
      </c>
      <c r="L77" s="12">
        <f t="shared" si="22"/>
        <v>9.5999999999999992E-3</v>
      </c>
    </row>
    <row r="78" spans="1:12" hidden="1" x14ac:dyDescent="0.35">
      <c r="A78" t="s">
        <v>12</v>
      </c>
      <c r="B78" t="s">
        <v>13</v>
      </c>
      <c r="C78">
        <v>0.99990000000000001</v>
      </c>
      <c r="D78" t="s">
        <v>14</v>
      </c>
      <c r="E78">
        <f t="shared" ca="1" si="15"/>
        <v>-4.4345075974310012E-2</v>
      </c>
      <c r="F78">
        <f t="shared" ca="1" si="16"/>
        <v>2.5348215758114634E-2</v>
      </c>
      <c r="G78">
        <f t="shared" ca="1" si="17"/>
        <v>-9.4984301080976892E-3</v>
      </c>
      <c r="H78" t="str">
        <f t="shared" si="18"/>
        <v>0.5-5</v>
      </c>
      <c r="I78">
        <f t="shared" si="19"/>
        <v>0.99950019992003203</v>
      </c>
      <c r="J78" s="2">
        <f t="shared" si="20"/>
        <v>3.9980007996798239E-4</v>
      </c>
      <c r="K78" t="str">
        <f t="shared" si="21"/>
        <v>&lt;=10</v>
      </c>
      <c r="L78" s="12">
        <f t="shared" si="22"/>
        <v>4.0000000000000002E-4</v>
      </c>
    </row>
    <row r="79" spans="1:12" hidden="1" x14ac:dyDescent="0.35">
      <c r="A79" t="s">
        <v>329</v>
      </c>
      <c r="B79" t="s">
        <v>329</v>
      </c>
      <c r="C79">
        <v>3.4939999999999999E-2</v>
      </c>
      <c r="D79" t="s">
        <v>133</v>
      </c>
      <c r="E79">
        <f t="shared" ca="1" si="15"/>
        <v>-3.1448529049393846E-2</v>
      </c>
      <c r="F79">
        <f t="shared" ca="1" si="16"/>
        <v>0.10650585698755727</v>
      </c>
      <c r="G79">
        <f t="shared" ca="1" si="17"/>
        <v>3.7528663969081708E-2</v>
      </c>
      <c r="H79" t="str">
        <f t="shared" si="18"/>
        <v>0-0.05</v>
      </c>
      <c r="I79">
        <f t="shared" si="19"/>
        <v>3.4563260460975367E-2</v>
      </c>
      <c r="J79" s="2">
        <f t="shared" si="20"/>
        <v>3.7673953902463142E-4</v>
      </c>
      <c r="K79" t="str">
        <f t="shared" si="21"/>
        <v>&lt;=10</v>
      </c>
      <c r="L79" s="12">
        <f t="shared" si="22"/>
        <v>1.09E-2</v>
      </c>
    </row>
    <row r="80" spans="1:12" hidden="1" x14ac:dyDescent="0.35">
      <c r="A80" t="s">
        <v>450</v>
      </c>
      <c r="B80" t="s">
        <v>451</v>
      </c>
      <c r="C80">
        <v>3.1009999999999999E-2</v>
      </c>
      <c r="D80" t="s">
        <v>452</v>
      </c>
      <c r="E80">
        <f t="shared" ca="1" si="15"/>
        <v>3.7573250750910593E-2</v>
      </c>
      <c r="F80">
        <f t="shared" ca="1" si="16"/>
        <v>-2.5361052368169032E-2</v>
      </c>
      <c r="G80">
        <f t="shared" ca="1" si="17"/>
        <v>6.1060991913707806E-3</v>
      </c>
      <c r="H80" t="str">
        <f t="shared" si="18"/>
        <v>0-0.05</v>
      </c>
      <c r="I80">
        <f t="shared" si="19"/>
        <v>3.0639264894773244E-2</v>
      </c>
      <c r="J80" s="2">
        <f t="shared" si="20"/>
        <v>3.707351052267549E-4</v>
      </c>
      <c r="K80" t="str">
        <f t="shared" si="21"/>
        <v>&lt;=10</v>
      </c>
      <c r="L80" s="12">
        <f t="shared" si="22"/>
        <v>1.21E-2</v>
      </c>
    </row>
    <row r="81" spans="1:12" hidden="1" x14ac:dyDescent="0.35">
      <c r="A81" t="s">
        <v>321</v>
      </c>
      <c r="B81" t="s">
        <v>322</v>
      </c>
      <c r="C81">
        <v>1.661E-2</v>
      </c>
      <c r="D81" t="s">
        <v>323</v>
      </c>
      <c r="E81">
        <f t="shared" ca="1" si="15"/>
        <v>-2.0983319058842029E-2</v>
      </c>
      <c r="F81">
        <f t="shared" ca="1" si="16"/>
        <v>-4.2524118303060646E-3</v>
      </c>
      <c r="G81">
        <f t="shared" ca="1" si="17"/>
        <v>-1.2617865444574047E-2</v>
      </c>
      <c r="H81" t="str">
        <f t="shared" si="18"/>
        <v>0-0.05</v>
      </c>
      <c r="I81">
        <f t="shared" si="19"/>
        <v>1.6255627324329613E-2</v>
      </c>
      <c r="J81" s="2">
        <f t="shared" si="20"/>
        <v>3.5437267567038633E-4</v>
      </c>
      <c r="K81" t="str">
        <f t="shared" si="21"/>
        <v>&lt;=10</v>
      </c>
      <c r="L81" s="12">
        <f t="shared" si="22"/>
        <v>2.18E-2</v>
      </c>
    </row>
    <row r="82" spans="1:12" hidden="1" x14ac:dyDescent="0.35">
      <c r="A82" t="s">
        <v>217</v>
      </c>
      <c r="B82" t="s">
        <v>218</v>
      </c>
      <c r="C82">
        <v>8.3759999999999998E-3</v>
      </c>
      <c r="D82" t="s">
        <v>219</v>
      </c>
      <c r="E82">
        <f t="shared" ca="1" si="15"/>
        <v>-1.8161282021267114E-3</v>
      </c>
      <c r="F82">
        <f t="shared" ca="1" si="16"/>
        <v>0.10768398462628596</v>
      </c>
      <c r="G82">
        <f t="shared" ca="1" si="17"/>
        <v>5.2933928212079623E-2</v>
      </c>
      <c r="H82" t="str">
        <f t="shared" si="18"/>
        <v>0-0.05</v>
      </c>
      <c r="I82">
        <f t="shared" si="19"/>
        <v>8.032991272657523E-3</v>
      </c>
      <c r="J82" s="2">
        <f t="shared" si="20"/>
        <v>3.4300872734247673E-4</v>
      </c>
      <c r="K82" t="str">
        <f t="shared" si="21"/>
        <v>&lt;=10</v>
      </c>
      <c r="L82" s="12">
        <f t="shared" si="22"/>
        <v>4.2700000000000002E-2</v>
      </c>
    </row>
    <row r="83" spans="1:12" hidden="1" x14ac:dyDescent="0.35">
      <c r="A83" t="s">
        <v>223</v>
      </c>
      <c r="B83" t="s">
        <v>224</v>
      </c>
      <c r="C83">
        <v>0.18410000000000001</v>
      </c>
      <c r="D83" t="s">
        <v>154</v>
      </c>
      <c r="E83">
        <f t="shared" ca="1" si="15"/>
        <v>-2.8987857909591821E-2</v>
      </c>
      <c r="F83">
        <f t="shared" ca="1" si="16"/>
        <v>4.3535414204376809E-2</v>
      </c>
      <c r="G83">
        <f t="shared" ca="1" si="17"/>
        <v>7.2737781473924939E-3</v>
      </c>
      <c r="H83" t="str">
        <f t="shared" si="18"/>
        <v>0.05-0.5</v>
      </c>
      <c r="I83">
        <f t="shared" si="19"/>
        <v>0.18376921541225794</v>
      </c>
      <c r="J83" s="2">
        <f t="shared" si="20"/>
        <v>3.3078458774207786E-4</v>
      </c>
      <c r="K83" t="str">
        <f t="shared" si="21"/>
        <v>&lt;=10</v>
      </c>
      <c r="L83" s="12">
        <f t="shared" si="22"/>
        <v>1.8E-3</v>
      </c>
    </row>
    <row r="84" spans="1:12" hidden="1" x14ac:dyDescent="0.35">
      <c r="A84" t="s">
        <v>76</v>
      </c>
      <c r="B84" t="s">
        <v>77</v>
      </c>
      <c r="C84">
        <v>1.0900000000000001</v>
      </c>
      <c r="D84" t="s">
        <v>23</v>
      </c>
      <c r="E84">
        <f t="shared" ca="1" si="15"/>
        <v>3.5045802145559891E-2</v>
      </c>
      <c r="F84">
        <f t="shared" ca="1" si="16"/>
        <v>-7.8690450438044401E-2</v>
      </c>
      <c r="G84">
        <f t="shared" ca="1" si="17"/>
        <v>-2.1822324146242255E-2</v>
      </c>
      <c r="H84" t="str">
        <f t="shared" si="18"/>
        <v>0.5-5</v>
      </c>
      <c r="I84">
        <f t="shared" si="19"/>
        <v>1.0896730980705789</v>
      </c>
      <c r="J84" s="2">
        <f t="shared" si="20"/>
        <v>3.2690192942119722E-4</v>
      </c>
      <c r="K84" t="str">
        <f t="shared" si="21"/>
        <v>&lt;=10</v>
      </c>
      <c r="L84" s="12">
        <f t="shared" si="22"/>
        <v>2.9999999999999997E-4</v>
      </c>
    </row>
    <row r="85" spans="1:12" hidden="1" x14ac:dyDescent="0.35">
      <c r="A85" t="s">
        <v>362</v>
      </c>
      <c r="B85" t="s">
        <v>363</v>
      </c>
      <c r="C85">
        <v>0.53059999999999996</v>
      </c>
      <c r="D85" t="s">
        <v>70</v>
      </c>
      <c r="E85">
        <f t="shared" ca="1" si="15"/>
        <v>3.9505995187145919E-2</v>
      </c>
      <c r="F85">
        <f t="shared" ca="1" si="16"/>
        <v>-6.5864083279418242E-2</v>
      </c>
      <c r="G85">
        <f t="shared" ca="1" si="17"/>
        <v>-1.3179044046136162E-2</v>
      </c>
      <c r="H85" t="str">
        <f t="shared" si="18"/>
        <v>0.5-5</v>
      </c>
      <c r="I85">
        <f t="shared" si="19"/>
        <v>0.53028183090145908</v>
      </c>
      <c r="J85" s="2">
        <f t="shared" si="20"/>
        <v>3.1816909854087694E-4</v>
      </c>
      <c r="K85" t="str">
        <f t="shared" si="21"/>
        <v>&lt;=10</v>
      </c>
      <c r="L85" s="12">
        <f t="shared" si="22"/>
        <v>5.9999999999999995E-4</v>
      </c>
    </row>
    <row r="86" spans="1:12" hidden="1" x14ac:dyDescent="0.35">
      <c r="A86" t="s">
        <v>505</v>
      </c>
      <c r="B86" t="s">
        <v>506</v>
      </c>
      <c r="C86">
        <v>1.532E-2</v>
      </c>
      <c r="D86" t="s">
        <v>507</v>
      </c>
      <c r="E86">
        <f t="shared" ca="1" si="15"/>
        <v>3.705259569670942E-2</v>
      </c>
      <c r="F86">
        <f t="shared" ca="1" si="16"/>
        <v>-2.0236770229517531E-4</v>
      </c>
      <c r="G86">
        <f t="shared" ca="1" si="17"/>
        <v>1.8425113997207122E-2</v>
      </c>
      <c r="H86" t="str">
        <f t="shared" si="18"/>
        <v>0-0.05</v>
      </c>
      <c r="I86">
        <f t="shared" si="19"/>
        <v>1.5010777973740938E-2</v>
      </c>
      <c r="J86" s="2">
        <f t="shared" si="20"/>
        <v>3.0922202625906225E-4</v>
      </c>
      <c r="K86" t="str">
        <f t="shared" si="21"/>
        <v>&lt;=10</v>
      </c>
      <c r="L86" s="12">
        <f t="shared" si="22"/>
        <v>2.06E-2</v>
      </c>
    </row>
    <row r="87" spans="1:12" hidden="1" x14ac:dyDescent="0.35">
      <c r="A87" t="s">
        <v>369</v>
      </c>
      <c r="B87" t="s">
        <v>370</v>
      </c>
      <c r="C87">
        <v>4.9799999999999997E-2</v>
      </c>
      <c r="D87" t="s">
        <v>371</v>
      </c>
      <c r="E87">
        <f t="shared" ca="1" si="15"/>
        <v>4.1324195949223555E-2</v>
      </c>
      <c r="F87">
        <f t="shared" ca="1" si="16"/>
        <v>9.5573076172209573E-2</v>
      </c>
      <c r="G87">
        <f t="shared" ca="1" si="17"/>
        <v>6.8448636060716564E-2</v>
      </c>
      <c r="H87" t="str">
        <f t="shared" si="18"/>
        <v>0-0.05</v>
      </c>
      <c r="I87">
        <f t="shared" si="19"/>
        <v>4.9493142516398331E-2</v>
      </c>
      <c r="J87" s="2">
        <f t="shared" si="20"/>
        <v>3.0685748360166631E-4</v>
      </c>
      <c r="K87" t="str">
        <f t="shared" si="21"/>
        <v>&lt;=10</v>
      </c>
      <c r="L87" s="12">
        <f t="shared" si="22"/>
        <v>6.1999999999999998E-3</v>
      </c>
    </row>
    <row r="88" spans="1:12" hidden="1" x14ac:dyDescent="0.35">
      <c r="A88" t="s">
        <v>294</v>
      </c>
      <c r="B88" t="s">
        <v>295</v>
      </c>
      <c r="C88">
        <v>2.198E-2</v>
      </c>
      <c r="D88" t="s">
        <v>296</v>
      </c>
      <c r="E88">
        <f t="shared" ca="1" si="15"/>
        <v>5.3512360638297118E-2</v>
      </c>
      <c r="F88">
        <f t="shared" ca="1" si="16"/>
        <v>-5.3446612761630669E-3</v>
      </c>
      <c r="G88">
        <f t="shared" ca="1" si="17"/>
        <v>2.4083849681067027E-2</v>
      </c>
      <c r="H88" t="str">
        <f t="shared" si="18"/>
        <v>0-0.05</v>
      </c>
      <c r="I88">
        <f t="shared" si="19"/>
        <v>2.1674391085691747E-2</v>
      </c>
      <c r="J88" s="2">
        <f t="shared" si="20"/>
        <v>3.0560891430825299E-4</v>
      </c>
      <c r="K88" t="str">
        <f t="shared" si="21"/>
        <v>&lt;=10</v>
      </c>
      <c r="L88" s="12">
        <f t="shared" si="22"/>
        <v>1.41E-2</v>
      </c>
    </row>
    <row r="89" spans="1:12" hidden="1" x14ac:dyDescent="0.35">
      <c r="A89" t="s">
        <v>22</v>
      </c>
      <c r="B89" t="s">
        <v>22</v>
      </c>
      <c r="C89">
        <v>0.99980000000000002</v>
      </c>
      <c r="D89" t="s">
        <v>23</v>
      </c>
      <c r="E89">
        <f t="shared" ca="1" si="15"/>
        <v>4.9613975147826964E-2</v>
      </c>
      <c r="F89">
        <f t="shared" ca="1" si="16"/>
        <v>-6.7592257549987031E-2</v>
      </c>
      <c r="G89">
        <f t="shared" ca="1" si="17"/>
        <v>-8.9891412010800337E-3</v>
      </c>
      <c r="H89" t="str">
        <f t="shared" si="18"/>
        <v>0.5-5</v>
      </c>
      <c r="I89">
        <f t="shared" si="19"/>
        <v>0.99950014995501357</v>
      </c>
      <c r="J89" s="2">
        <f t="shared" si="20"/>
        <v>2.998500449864494E-4</v>
      </c>
      <c r="K89" t="str">
        <f t="shared" si="21"/>
        <v>&lt;=10</v>
      </c>
      <c r="L89" s="12">
        <f t="shared" si="22"/>
        <v>2.9999999999999997E-4</v>
      </c>
    </row>
    <row r="90" spans="1:12" hidden="1" x14ac:dyDescent="0.35">
      <c r="A90" t="s">
        <v>384</v>
      </c>
      <c r="B90" t="s">
        <v>385</v>
      </c>
      <c r="C90">
        <v>3.3210000000000003E-2</v>
      </c>
      <c r="D90" t="s">
        <v>386</v>
      </c>
      <c r="E90">
        <f t="shared" ca="1" si="15"/>
        <v>3.9576307426313932E-3</v>
      </c>
      <c r="F90">
        <f t="shared" ca="1" si="16"/>
        <v>-5.9761778844674561E-2</v>
      </c>
      <c r="G90">
        <f t="shared" ca="1" si="17"/>
        <v>-2.7902074051021585E-2</v>
      </c>
      <c r="H90" t="str">
        <f t="shared" si="18"/>
        <v>0-0.05</v>
      </c>
      <c r="I90">
        <f t="shared" si="19"/>
        <v>3.2913776015857293E-2</v>
      </c>
      <c r="J90" s="2">
        <f t="shared" si="20"/>
        <v>2.9622398414271001E-4</v>
      </c>
      <c r="K90" t="str">
        <f t="shared" si="21"/>
        <v>&lt;=10</v>
      </c>
      <c r="L90" s="12">
        <f t="shared" si="22"/>
        <v>8.9999999999999993E-3</v>
      </c>
    </row>
    <row r="91" spans="1:12" hidden="1" x14ac:dyDescent="0.35">
      <c r="A91" t="s">
        <v>114</v>
      </c>
      <c r="B91" t="s">
        <v>115</v>
      </c>
      <c r="C91">
        <v>1.813E-2</v>
      </c>
      <c r="D91" t="s">
        <v>116</v>
      </c>
      <c r="E91">
        <f t="shared" ca="1" si="15"/>
        <v>-1.0112416136078387E-2</v>
      </c>
      <c r="F91">
        <f t="shared" ca="1" si="16"/>
        <v>8.5360617949140183E-2</v>
      </c>
      <c r="G91">
        <f t="shared" ca="1" si="17"/>
        <v>3.76241009065309E-2</v>
      </c>
      <c r="H91" t="str">
        <f t="shared" si="18"/>
        <v>0-0.05</v>
      </c>
      <c r="I91">
        <f t="shared" si="19"/>
        <v>1.7846244709124912E-2</v>
      </c>
      <c r="J91" s="2">
        <f t="shared" si="20"/>
        <v>2.8375529087508802E-4</v>
      </c>
      <c r="K91" t="str">
        <f t="shared" si="21"/>
        <v>&lt;=10</v>
      </c>
      <c r="L91" s="12">
        <f t="shared" si="22"/>
        <v>1.5900000000000001E-2</v>
      </c>
    </row>
    <row r="92" spans="1:12" hidden="1" x14ac:dyDescent="0.35">
      <c r="A92" t="s">
        <v>225</v>
      </c>
      <c r="B92" t="s">
        <v>226</v>
      </c>
      <c r="C92">
        <v>2.085E-2</v>
      </c>
      <c r="D92" t="s">
        <v>227</v>
      </c>
      <c r="E92">
        <f t="shared" ca="1" si="15"/>
        <v>-2.8707960995970762E-2</v>
      </c>
      <c r="F92">
        <f t="shared" ca="1" si="16"/>
        <v>3.0877000555081746E-2</v>
      </c>
      <c r="G92">
        <f t="shared" ca="1" si="17"/>
        <v>1.0845197795554921E-3</v>
      </c>
      <c r="H92" t="str">
        <f t="shared" si="18"/>
        <v>0-0.05</v>
      </c>
      <c r="I92">
        <f t="shared" si="19"/>
        <v>2.0590558957140036E-2</v>
      </c>
      <c r="J92" s="2">
        <f t="shared" si="20"/>
        <v>2.5944104285996472E-4</v>
      </c>
      <c r="K92" t="str">
        <f t="shared" si="21"/>
        <v>&lt;=10</v>
      </c>
      <c r="L92" s="12">
        <f t="shared" si="22"/>
        <v>1.26E-2</v>
      </c>
    </row>
    <row r="93" spans="1:12" hidden="1" x14ac:dyDescent="0.35">
      <c r="A93" t="s">
        <v>125</v>
      </c>
      <c r="B93" t="s">
        <v>126</v>
      </c>
      <c r="C93">
        <v>0.15379999999999999</v>
      </c>
      <c r="D93" t="s">
        <v>127</v>
      </c>
      <c r="E93">
        <f t="shared" ca="1" si="15"/>
        <v>-2.0588727875961565E-3</v>
      </c>
      <c r="F93">
        <f t="shared" ca="1" si="16"/>
        <v>-4.4902503583837738E-2</v>
      </c>
      <c r="G93">
        <f t="shared" ca="1" si="17"/>
        <v>-2.3480688185716948E-2</v>
      </c>
      <c r="H93" t="str">
        <f t="shared" si="18"/>
        <v>0.05-0.5</v>
      </c>
      <c r="I93">
        <f t="shared" si="19"/>
        <v>0.15358498102656279</v>
      </c>
      <c r="J93" s="2">
        <f t="shared" si="20"/>
        <v>2.1501897343720322E-4</v>
      </c>
      <c r="K93" t="str">
        <f t="shared" si="21"/>
        <v>&lt;=10</v>
      </c>
      <c r="L93" s="12">
        <f t="shared" si="22"/>
        <v>1.4E-3</v>
      </c>
    </row>
    <row r="94" spans="1:12" hidden="1" x14ac:dyDescent="0.35">
      <c r="A94" t="s">
        <v>350</v>
      </c>
      <c r="B94" t="s">
        <v>351</v>
      </c>
      <c r="C94">
        <v>9.0029999999999999E-2</v>
      </c>
      <c r="D94" t="s">
        <v>293</v>
      </c>
      <c r="E94">
        <f t="shared" ca="1" si="15"/>
        <v>3.991357294479146E-3</v>
      </c>
      <c r="F94">
        <f t="shared" ca="1" si="16"/>
        <v>-5.0397093042899681E-2</v>
      </c>
      <c r="G94">
        <f t="shared" ca="1" si="17"/>
        <v>-2.3202867874210269E-2</v>
      </c>
      <c r="H94" t="str">
        <f t="shared" si="18"/>
        <v>0.05-0.5</v>
      </c>
      <c r="I94">
        <f t="shared" si="19"/>
        <v>8.9832368788664935E-2</v>
      </c>
      <c r="J94" s="2">
        <f t="shared" si="20"/>
        <v>1.9763121133506423E-4</v>
      </c>
      <c r="K94" t="str">
        <f t="shared" si="21"/>
        <v>&lt;=10</v>
      </c>
      <c r="L94" s="12">
        <f t="shared" si="22"/>
        <v>2.2000000000000001E-3</v>
      </c>
    </row>
    <row r="95" spans="1:12" hidden="1" x14ac:dyDescent="0.35">
      <c r="A95" t="s">
        <v>500</v>
      </c>
      <c r="B95" t="s">
        <v>501</v>
      </c>
      <c r="C95">
        <v>6.2379999999999996E-3</v>
      </c>
      <c r="D95" t="s">
        <v>502</v>
      </c>
      <c r="E95">
        <f t="shared" ca="1" si="15"/>
        <v>1.0051401832811554E-2</v>
      </c>
      <c r="F95">
        <f t="shared" ca="1" si="16"/>
        <v>1.5521758679112202E-2</v>
      </c>
      <c r="G95">
        <f t="shared" ca="1" si="17"/>
        <v>1.2786580255961879E-2</v>
      </c>
      <c r="H95" t="str">
        <f t="shared" si="18"/>
        <v>0-0.05</v>
      </c>
      <c r="I95">
        <f t="shared" si="19"/>
        <v>6.059840683893529E-3</v>
      </c>
      <c r="J95" s="2">
        <f t="shared" si="20"/>
        <v>1.7815931610647064E-4</v>
      </c>
      <c r="K95" t="str">
        <f t="shared" si="21"/>
        <v>&lt;=10</v>
      </c>
      <c r="L95" s="12">
        <f t="shared" si="22"/>
        <v>2.9399999999999999E-2</v>
      </c>
    </row>
    <row r="96" spans="1:12" hidden="1" x14ac:dyDescent="0.35">
      <c r="A96" t="s">
        <v>411</v>
      </c>
      <c r="B96" t="s">
        <v>412</v>
      </c>
      <c r="C96">
        <v>1.06E-2</v>
      </c>
      <c r="D96" t="s">
        <v>139</v>
      </c>
      <c r="E96">
        <f t="shared" ca="1" si="15"/>
        <v>-2.6623221014776578E-3</v>
      </c>
      <c r="F96">
        <f t="shared" ca="1" si="16"/>
        <v>1.0439761882245532E-2</v>
      </c>
      <c r="G96">
        <f t="shared" ca="1" si="17"/>
        <v>3.8887198903839373E-3</v>
      </c>
      <c r="H96" t="str">
        <f t="shared" si="18"/>
        <v>0-0.05</v>
      </c>
      <c r="I96">
        <f t="shared" si="19"/>
        <v>1.0432044090148607E-2</v>
      </c>
      <c r="J96" s="2">
        <f t="shared" si="20"/>
        <v>1.6795590985139303E-4</v>
      </c>
      <c r="K96" t="str">
        <f t="shared" si="21"/>
        <v>&lt;=10</v>
      </c>
      <c r="L96" s="12">
        <f t="shared" si="22"/>
        <v>1.61E-2</v>
      </c>
    </row>
    <row r="97" spans="1:12" hidden="1" x14ac:dyDescent="0.35">
      <c r="A97" t="s">
        <v>316</v>
      </c>
      <c r="B97" t="s">
        <v>317</v>
      </c>
      <c r="C97">
        <v>9.4009999999999996E-3</v>
      </c>
      <c r="D97" t="s">
        <v>318</v>
      </c>
      <c r="E97">
        <f t="shared" ca="1" si="15"/>
        <v>-4.9264474141365762E-3</v>
      </c>
      <c r="F97">
        <f t="shared" ca="1" si="16"/>
        <v>-4.1582600456529673E-2</v>
      </c>
      <c r="G97">
        <f t="shared" ca="1" si="17"/>
        <v>-2.3254523935333123E-2</v>
      </c>
      <c r="H97" t="str">
        <f t="shared" si="18"/>
        <v>0-0.05</v>
      </c>
      <c r="I97">
        <f t="shared" si="19"/>
        <v>9.2347740667976415E-3</v>
      </c>
      <c r="J97" s="2">
        <f t="shared" si="20"/>
        <v>1.6622593320235815E-4</v>
      </c>
      <c r="K97" t="str">
        <f t="shared" si="21"/>
        <v>&lt;=10</v>
      </c>
      <c r="L97" s="12">
        <f t="shared" si="22"/>
        <v>1.7999999999999999E-2</v>
      </c>
    </row>
    <row r="98" spans="1:12" hidden="1" x14ac:dyDescent="0.35">
      <c r="A98" t="s">
        <v>334</v>
      </c>
      <c r="B98" t="s">
        <v>335</v>
      </c>
      <c r="C98">
        <v>3.6720000000000003E-2</v>
      </c>
      <c r="D98" t="s">
        <v>257</v>
      </c>
      <c r="E98">
        <f t="shared" ref="E98:E129" ca="1" si="23">D98 + (RAND()-0.5)/10</f>
        <v>-3.2725562433201155E-2</v>
      </c>
      <c r="F98">
        <f t="shared" ref="F98:F129" ca="1" si="24">D98 + (RAND()-0.5)/5</f>
        <v>8.6393833288954419E-2</v>
      </c>
      <c r="G98">
        <f t="shared" ref="G98:G129" ca="1" si="25">AVERAGE(D98,E98,F98)</f>
        <v>2.6834135427876632E-2</v>
      </c>
      <c r="H98" t="str">
        <f t="shared" ref="H98:H129" si="26">IF(C98&lt;=0.05,"0-0.05",
IF(C98&lt;=0.5,"0.05-0.5",
IF(C98&lt;=5,"0.5-5",
IF(C98&lt;=50,"5-50","&gt;50"))))</f>
        <v>0-0.05</v>
      </c>
      <c r="I98">
        <f t="shared" ref="I98:I129" si="27">C98/(1+D98)</f>
        <v>3.6573705179282871E-2</v>
      </c>
      <c r="J98" s="2">
        <f t="shared" ref="J98:J129" si="28">C98-I98</f>
        <v>1.4629482071713135E-4</v>
      </c>
      <c r="K98" t="str">
        <f t="shared" ref="K98:K129" si="29">IF(C98&lt;=10,"&lt;=10","&gt;=10")</f>
        <v>&lt;=10</v>
      </c>
      <c r="L98" s="12">
        <f t="shared" si="22"/>
        <v>4.0000000000000001E-3</v>
      </c>
    </row>
    <row r="99" spans="1:12" hidden="1" x14ac:dyDescent="0.35">
      <c r="A99" t="s">
        <v>440</v>
      </c>
      <c r="B99" t="s">
        <v>440</v>
      </c>
      <c r="C99">
        <v>1.772E-2</v>
      </c>
      <c r="D99" t="s">
        <v>441</v>
      </c>
      <c r="E99">
        <f t="shared" ca="1" si="23"/>
        <v>-3.5745021615026434E-2</v>
      </c>
      <c r="F99">
        <f t="shared" ca="1" si="24"/>
        <v>7.9008765055417346E-2</v>
      </c>
      <c r="G99">
        <f t="shared" ca="1" si="25"/>
        <v>2.1631871720195456E-2</v>
      </c>
      <c r="H99" t="str">
        <f t="shared" si="26"/>
        <v>0-0.05</v>
      </c>
      <c r="I99">
        <f t="shared" si="27"/>
        <v>1.7577621267731377E-2</v>
      </c>
      <c r="J99" s="2">
        <f t="shared" si="28"/>
        <v>1.4237873226862277E-4</v>
      </c>
      <c r="K99" t="str">
        <f t="shared" si="29"/>
        <v>&lt;=10</v>
      </c>
      <c r="L99" s="12">
        <f t="shared" si="22"/>
        <v>8.0999999999999996E-3</v>
      </c>
    </row>
    <row r="100" spans="1:12" hidden="1" x14ac:dyDescent="0.35">
      <c r="A100" t="s">
        <v>312</v>
      </c>
      <c r="B100" t="s">
        <v>28</v>
      </c>
      <c r="C100">
        <v>9.443E-3</v>
      </c>
      <c r="D100" t="s">
        <v>313</v>
      </c>
      <c r="E100">
        <f t="shared" ca="1" si="23"/>
        <v>2.5245214683477166E-2</v>
      </c>
      <c r="F100">
        <f t="shared" ca="1" si="24"/>
        <v>0.10622359061310202</v>
      </c>
      <c r="G100">
        <f t="shared" ca="1" si="25"/>
        <v>6.5734402648289586E-2</v>
      </c>
      <c r="H100" t="str">
        <f t="shared" si="26"/>
        <v>0-0.05</v>
      </c>
      <c r="I100">
        <f t="shared" si="27"/>
        <v>9.3135417694052668E-3</v>
      </c>
      <c r="J100" s="2">
        <f t="shared" si="28"/>
        <v>1.2945823059473324E-4</v>
      </c>
      <c r="K100" t="str">
        <f t="shared" si="29"/>
        <v>&lt;=10</v>
      </c>
      <c r="L100" s="12">
        <f t="shared" si="22"/>
        <v>1.3899999999999999E-2</v>
      </c>
    </row>
    <row r="101" spans="1:12" hidden="1" x14ac:dyDescent="0.35">
      <c r="A101" t="s">
        <v>99</v>
      </c>
      <c r="B101" t="s">
        <v>100</v>
      </c>
      <c r="C101">
        <v>1.1480000000000001E-2</v>
      </c>
      <c r="D101" t="s">
        <v>101</v>
      </c>
      <c r="E101">
        <f t="shared" ca="1" si="23"/>
        <v>1.3716240157699434E-2</v>
      </c>
      <c r="F101">
        <f t="shared" ca="1" si="24"/>
        <v>4.6327834214651295E-2</v>
      </c>
      <c r="G101">
        <f t="shared" ca="1" si="25"/>
        <v>3.0022037186175365E-2</v>
      </c>
      <c r="H101" t="str">
        <f t="shared" si="26"/>
        <v>0-0.05</v>
      </c>
      <c r="I101">
        <f t="shared" si="27"/>
        <v>1.1351725501829328E-2</v>
      </c>
      <c r="J101" s="2">
        <f t="shared" si="28"/>
        <v>1.2827449817067252E-4</v>
      </c>
      <c r="K101" t="str">
        <f t="shared" si="29"/>
        <v>&lt;=10</v>
      </c>
      <c r="L101" s="12">
        <f t="shared" si="22"/>
        <v>1.1299999999999999E-2</v>
      </c>
    </row>
    <row r="102" spans="1:12" hidden="1" x14ac:dyDescent="0.35">
      <c r="A102" t="s">
        <v>400</v>
      </c>
      <c r="B102" t="s">
        <v>401</v>
      </c>
      <c r="C102">
        <v>1.094E-2</v>
      </c>
      <c r="D102" t="s">
        <v>402</v>
      </c>
      <c r="E102">
        <f t="shared" ca="1" si="23"/>
        <v>-3.5057104526035575E-2</v>
      </c>
      <c r="F102">
        <f t="shared" ca="1" si="24"/>
        <v>-5.3551452753912702E-2</v>
      </c>
      <c r="G102">
        <f t="shared" ca="1" si="25"/>
        <v>-4.4304278639974139E-2</v>
      </c>
      <c r="H102" t="str">
        <f t="shared" si="26"/>
        <v>0-0.05</v>
      </c>
      <c r="I102">
        <f t="shared" si="27"/>
        <v>1.0812413520458588E-2</v>
      </c>
      <c r="J102" s="2">
        <f t="shared" si="28"/>
        <v>1.275864795414125E-4</v>
      </c>
      <c r="K102" t="str">
        <f t="shared" si="29"/>
        <v>&lt;=10</v>
      </c>
      <c r="L102" s="12">
        <f t="shared" si="22"/>
        <v>1.18E-2</v>
      </c>
    </row>
    <row r="103" spans="1:12" hidden="1" x14ac:dyDescent="0.35">
      <c r="A103" t="s">
        <v>33</v>
      </c>
      <c r="B103" t="s">
        <v>34</v>
      </c>
      <c r="C103">
        <v>9.0959999999999999E-3</v>
      </c>
      <c r="D103" t="s">
        <v>35</v>
      </c>
      <c r="E103">
        <f t="shared" ca="1" si="23"/>
        <v>3.7206876117191146E-2</v>
      </c>
      <c r="F103">
        <f t="shared" ca="1" si="24"/>
        <v>-2.9311007415816284E-2</v>
      </c>
      <c r="G103">
        <f t="shared" ca="1" si="25"/>
        <v>3.9479343506874306E-3</v>
      </c>
      <c r="H103" t="str">
        <f t="shared" si="26"/>
        <v>0-0.05</v>
      </c>
      <c r="I103">
        <f t="shared" si="27"/>
        <v>8.9704142011834322E-3</v>
      </c>
      <c r="J103" s="2">
        <f t="shared" si="28"/>
        <v>1.2558579881656769E-4</v>
      </c>
      <c r="K103" t="str">
        <f t="shared" si="29"/>
        <v>&lt;=10</v>
      </c>
      <c r="L103" s="12">
        <f t="shared" si="22"/>
        <v>1.4E-2</v>
      </c>
    </row>
    <row r="104" spans="1:12" hidden="1" x14ac:dyDescent="0.35">
      <c r="A104" t="s">
        <v>314</v>
      </c>
      <c r="B104" t="s">
        <v>315</v>
      </c>
      <c r="C104">
        <v>9.0810000000000005E-3</v>
      </c>
      <c r="D104" t="s">
        <v>227</v>
      </c>
      <c r="E104">
        <f t="shared" ca="1" si="23"/>
        <v>-3.5532111213454197E-2</v>
      </c>
      <c r="F104">
        <f t="shared" ca="1" si="24"/>
        <v>6.3091219314144645E-2</v>
      </c>
      <c r="G104">
        <f t="shared" ca="1" si="25"/>
        <v>1.3779554050345224E-2</v>
      </c>
      <c r="H104" t="str">
        <f t="shared" si="26"/>
        <v>0-0.05</v>
      </c>
      <c r="I104">
        <f t="shared" si="27"/>
        <v>8.9680031601817121E-3</v>
      </c>
      <c r="J104" s="2">
        <f t="shared" si="28"/>
        <v>1.1299683981828845E-4</v>
      </c>
      <c r="K104" t="str">
        <f t="shared" si="29"/>
        <v>&lt;=10</v>
      </c>
      <c r="L104" s="12">
        <f t="shared" si="22"/>
        <v>1.26E-2</v>
      </c>
    </row>
    <row r="105" spans="1:12" hidden="1" x14ac:dyDescent="0.35">
      <c r="A105" t="s">
        <v>336</v>
      </c>
      <c r="B105" t="s">
        <v>337</v>
      </c>
      <c r="C105">
        <v>7.7879999999999998E-3</v>
      </c>
      <c r="D105" t="s">
        <v>326</v>
      </c>
      <c r="E105">
        <f t="shared" ca="1" si="23"/>
        <v>1.667424836006157E-2</v>
      </c>
      <c r="F105">
        <f t="shared" ca="1" si="24"/>
        <v>0.10594126667237741</v>
      </c>
      <c r="G105">
        <f t="shared" ca="1" si="25"/>
        <v>6.1307757516219488E-2</v>
      </c>
      <c r="H105" t="str">
        <f t="shared" si="26"/>
        <v>0-0.05</v>
      </c>
      <c r="I105">
        <f t="shared" si="27"/>
        <v>7.678958785249458E-3</v>
      </c>
      <c r="J105" s="2">
        <f t="shared" si="28"/>
        <v>1.0904121475054183E-4</v>
      </c>
      <c r="K105" t="str">
        <f t="shared" si="29"/>
        <v>&lt;=10</v>
      </c>
      <c r="L105" s="12">
        <f t="shared" si="22"/>
        <v>1.4200000000000001E-2</v>
      </c>
    </row>
    <row r="106" spans="1:12" hidden="1" x14ac:dyDescent="0.35">
      <c r="A106" t="s">
        <v>377</v>
      </c>
      <c r="B106" t="s">
        <v>378</v>
      </c>
      <c r="C106">
        <v>1.908E-2</v>
      </c>
      <c r="D106" t="s">
        <v>166</v>
      </c>
      <c r="E106">
        <f t="shared" ca="1" si="23"/>
        <v>-6.3491350343005057E-3</v>
      </c>
      <c r="F106">
        <f t="shared" ca="1" si="24"/>
        <v>-2.416032457671918E-3</v>
      </c>
      <c r="G106">
        <f t="shared" ca="1" si="25"/>
        <v>-4.3825837459862118E-3</v>
      </c>
      <c r="H106" t="str">
        <f t="shared" si="26"/>
        <v>0-0.05</v>
      </c>
      <c r="I106">
        <f t="shared" si="27"/>
        <v>1.8971860395744257E-2</v>
      </c>
      <c r="J106" s="2">
        <f t="shared" si="28"/>
        <v>1.0813960425574282E-4</v>
      </c>
      <c r="K106" t="str">
        <f t="shared" si="29"/>
        <v>&lt;=10</v>
      </c>
      <c r="L106" s="12">
        <f t="shared" si="22"/>
        <v>5.7000000000000002E-3</v>
      </c>
    </row>
    <row r="107" spans="1:12" hidden="1" x14ac:dyDescent="0.35">
      <c r="A107" t="s">
        <v>134</v>
      </c>
      <c r="B107" t="s">
        <v>135</v>
      </c>
      <c r="C107">
        <v>3.2290000000000001E-3</v>
      </c>
      <c r="D107" t="s">
        <v>136</v>
      </c>
      <c r="E107">
        <f t="shared" ca="1" si="23"/>
        <v>5.9498922951692949E-2</v>
      </c>
      <c r="F107">
        <f t="shared" ca="1" si="24"/>
        <v>0.10485539670485261</v>
      </c>
      <c r="G107">
        <f t="shared" ca="1" si="25"/>
        <v>8.2177159828272783E-2</v>
      </c>
      <c r="H107" t="str">
        <f t="shared" si="26"/>
        <v>0-0.05</v>
      </c>
      <c r="I107">
        <f t="shared" si="27"/>
        <v>3.1222200734867529E-3</v>
      </c>
      <c r="J107" s="2">
        <f t="shared" si="28"/>
        <v>1.0677992651324719E-4</v>
      </c>
      <c r="K107" t="str">
        <f t="shared" si="29"/>
        <v>&lt;=10</v>
      </c>
      <c r="L107" s="12">
        <f t="shared" si="22"/>
        <v>3.4200000000000001E-2</v>
      </c>
    </row>
    <row r="108" spans="1:12" hidden="1" x14ac:dyDescent="0.35">
      <c r="A108" t="s">
        <v>338</v>
      </c>
      <c r="B108" t="s">
        <v>339</v>
      </c>
      <c r="C108">
        <v>1.508E-2</v>
      </c>
      <c r="D108" t="s">
        <v>340</v>
      </c>
      <c r="E108">
        <f t="shared" ca="1" si="23"/>
        <v>5.0360845264597394E-2</v>
      </c>
      <c r="F108">
        <f t="shared" ca="1" si="24"/>
        <v>3.6871214399511881E-2</v>
      </c>
      <c r="G108">
        <f t="shared" ca="1" si="25"/>
        <v>4.3616029832054634E-2</v>
      </c>
      <c r="H108" t="str">
        <f t="shared" si="26"/>
        <v>0-0.05</v>
      </c>
      <c r="I108">
        <f t="shared" si="27"/>
        <v>1.4975173783515393E-2</v>
      </c>
      <c r="J108" s="2">
        <f t="shared" si="28"/>
        <v>1.0482621648460685E-4</v>
      </c>
      <c r="K108" t="str">
        <f t="shared" si="29"/>
        <v>&lt;=10</v>
      </c>
      <c r="L108" s="12">
        <f t="shared" si="22"/>
        <v>7.0000000000000001E-3</v>
      </c>
    </row>
    <row r="109" spans="1:12" hidden="1" x14ac:dyDescent="0.35">
      <c r="A109" t="s">
        <v>74</v>
      </c>
      <c r="B109" t="s">
        <v>75</v>
      </c>
      <c r="C109">
        <v>0.99770000000000003</v>
      </c>
      <c r="D109" t="s">
        <v>62</v>
      </c>
      <c r="E109">
        <f t="shared" ca="1" si="23"/>
        <v>-1.1058434118303807E-2</v>
      </c>
      <c r="F109">
        <f t="shared" ca="1" si="24"/>
        <v>-9.2533833998201503E-2</v>
      </c>
      <c r="G109">
        <f t="shared" ca="1" si="25"/>
        <v>-5.1796134058252653E-2</v>
      </c>
      <c r="H109" t="str">
        <f t="shared" si="26"/>
        <v>0.5-5</v>
      </c>
      <c r="I109">
        <f t="shared" si="27"/>
        <v>0.99760023997600245</v>
      </c>
      <c r="J109" s="2">
        <f t="shared" si="28"/>
        <v>9.9760023997585989E-5</v>
      </c>
      <c r="K109" t="str">
        <f t="shared" si="29"/>
        <v>&lt;=10</v>
      </c>
      <c r="L109" s="12">
        <f t="shared" si="22"/>
        <v>1E-4</v>
      </c>
    </row>
    <row r="110" spans="1:12" hidden="1" x14ac:dyDescent="0.35">
      <c r="A110" t="s">
        <v>60</v>
      </c>
      <c r="B110" t="s">
        <v>61</v>
      </c>
      <c r="C110">
        <v>0.99760000000000004</v>
      </c>
      <c r="D110" t="s">
        <v>62</v>
      </c>
      <c r="E110">
        <f t="shared" ca="1" si="23"/>
        <v>-1.5361718686411752E-2</v>
      </c>
      <c r="F110">
        <f t="shared" ca="1" si="24"/>
        <v>-7.5476141004173117E-2</v>
      </c>
      <c r="G110">
        <f t="shared" ca="1" si="25"/>
        <v>-4.5418929845292437E-2</v>
      </c>
      <c r="H110" t="str">
        <f t="shared" si="26"/>
        <v>0.5-5</v>
      </c>
      <c r="I110">
        <f t="shared" si="27"/>
        <v>0.99750024997500253</v>
      </c>
      <c r="J110" s="2">
        <f t="shared" si="28"/>
        <v>9.975002499751362E-5</v>
      </c>
      <c r="K110" t="str">
        <f t="shared" si="29"/>
        <v>&lt;=10</v>
      </c>
      <c r="L110" s="12">
        <f t="shared" si="22"/>
        <v>1E-4</v>
      </c>
    </row>
    <row r="111" spans="1:12" hidden="1" x14ac:dyDescent="0.35">
      <c r="A111" t="s">
        <v>332</v>
      </c>
      <c r="B111" t="s">
        <v>333</v>
      </c>
      <c r="C111">
        <v>1.839E-2</v>
      </c>
      <c r="D111" t="s">
        <v>148</v>
      </c>
      <c r="E111">
        <f t="shared" ca="1" si="23"/>
        <v>-4.3661931985331691E-3</v>
      </c>
      <c r="F111">
        <f t="shared" ca="1" si="24"/>
        <v>4.0139989803146377E-2</v>
      </c>
      <c r="G111">
        <f t="shared" ca="1" si="25"/>
        <v>1.7886898302306605E-2</v>
      </c>
      <c r="H111" t="str">
        <f t="shared" si="26"/>
        <v>0-0.05</v>
      </c>
      <c r="I111">
        <f t="shared" si="27"/>
        <v>1.8293046851686062E-2</v>
      </c>
      <c r="J111" s="2">
        <f t="shared" si="28"/>
        <v>9.6953148313937837E-5</v>
      </c>
      <c r="K111" t="str">
        <f t="shared" si="29"/>
        <v>&lt;=10</v>
      </c>
      <c r="L111" s="12">
        <f t="shared" si="22"/>
        <v>5.3E-3</v>
      </c>
    </row>
    <row r="112" spans="1:12" hidden="1" x14ac:dyDescent="0.35">
      <c r="A112" t="s">
        <v>246</v>
      </c>
      <c r="B112" t="s">
        <v>247</v>
      </c>
      <c r="C112">
        <v>1.7489999999999999E-2</v>
      </c>
      <c r="D112" t="s">
        <v>16</v>
      </c>
      <c r="E112">
        <f t="shared" ca="1" si="23"/>
        <v>5.4270903568689556E-2</v>
      </c>
      <c r="F112">
        <f t="shared" ca="1" si="24"/>
        <v>-9.0919985803703321E-2</v>
      </c>
      <c r="G112">
        <f t="shared" ca="1" si="25"/>
        <v>-1.8324541117506882E-2</v>
      </c>
      <c r="H112" t="str">
        <f t="shared" si="26"/>
        <v>0-0.05</v>
      </c>
      <c r="I112">
        <f t="shared" si="27"/>
        <v>1.7394331178518147E-2</v>
      </c>
      <c r="J112" s="2">
        <f t="shared" si="28"/>
        <v>9.5668821481851435E-5</v>
      </c>
      <c r="K112" t="str">
        <f t="shared" si="29"/>
        <v>&lt;=10</v>
      </c>
      <c r="L112" s="12">
        <f t="shared" si="22"/>
        <v>5.4999999999999997E-3</v>
      </c>
    </row>
    <row r="113" spans="1:12" hidden="1" x14ac:dyDescent="0.35">
      <c r="A113" t="s">
        <v>220</v>
      </c>
      <c r="B113" t="s">
        <v>221</v>
      </c>
      <c r="C113">
        <v>2.6540000000000001E-2</v>
      </c>
      <c r="D113" t="s">
        <v>222</v>
      </c>
      <c r="E113">
        <f t="shared" ca="1" si="23"/>
        <v>3.7999388996864954E-2</v>
      </c>
      <c r="F113">
        <f t="shared" ca="1" si="24"/>
        <v>7.6921634634709454E-2</v>
      </c>
      <c r="G113">
        <f t="shared" ca="1" si="25"/>
        <v>5.7460511815787207E-2</v>
      </c>
      <c r="H113" t="str">
        <f t="shared" si="26"/>
        <v>0-0.05</v>
      </c>
      <c r="I113">
        <f t="shared" si="27"/>
        <v>2.6452706069969099E-2</v>
      </c>
      <c r="J113" s="2">
        <f t="shared" si="28"/>
        <v>8.729393003090169E-5</v>
      </c>
      <c r="K113" t="str">
        <f t="shared" si="29"/>
        <v>&lt;=10</v>
      </c>
      <c r="L113" s="12">
        <f t="shared" si="22"/>
        <v>3.3E-3</v>
      </c>
    </row>
    <row r="114" spans="1:12" hidden="1" x14ac:dyDescent="0.35">
      <c r="A114" t="s">
        <v>149</v>
      </c>
      <c r="B114" t="s">
        <v>150</v>
      </c>
      <c r="C114">
        <v>6.6350000000000003E-3</v>
      </c>
      <c r="D114" t="s">
        <v>151</v>
      </c>
      <c r="E114">
        <f t="shared" ca="1" si="23"/>
        <v>-1.0470632097301268E-2</v>
      </c>
      <c r="F114">
        <f t="shared" ca="1" si="24"/>
        <v>-4.0393591938378118E-2</v>
      </c>
      <c r="G114">
        <f t="shared" ca="1" si="25"/>
        <v>-2.5432112017839695E-2</v>
      </c>
      <c r="H114" t="str">
        <f t="shared" si="26"/>
        <v>0-0.05</v>
      </c>
      <c r="I114">
        <f t="shared" si="27"/>
        <v>6.548559020923805E-3</v>
      </c>
      <c r="J114" s="2">
        <f t="shared" si="28"/>
        <v>8.6440979076195246E-5</v>
      </c>
      <c r="K114" t="str">
        <f t="shared" si="29"/>
        <v>&lt;=10</v>
      </c>
      <c r="L114" s="12">
        <f t="shared" si="22"/>
        <v>1.32E-2</v>
      </c>
    </row>
    <row r="115" spans="1:12" hidden="1" x14ac:dyDescent="0.35">
      <c r="A115" t="s">
        <v>81</v>
      </c>
      <c r="B115" t="s">
        <v>82</v>
      </c>
      <c r="C115">
        <v>1.6469999999999999E-2</v>
      </c>
      <c r="D115" t="s">
        <v>73</v>
      </c>
      <c r="E115">
        <f t="shared" ca="1" si="23"/>
        <v>4.6610122159270687E-3</v>
      </c>
      <c r="F115">
        <f t="shared" ca="1" si="24"/>
        <v>8.4185557415621323E-2</v>
      </c>
      <c r="G115">
        <f t="shared" ca="1" si="25"/>
        <v>4.4423284815774199E-2</v>
      </c>
      <c r="H115" t="str">
        <f t="shared" si="26"/>
        <v>0-0.05</v>
      </c>
      <c r="I115">
        <f t="shared" si="27"/>
        <v>1.6384799044966172E-2</v>
      </c>
      <c r="J115" s="2">
        <f t="shared" si="28"/>
        <v>8.5200955033826881E-5</v>
      </c>
      <c r="K115" t="str">
        <f t="shared" si="29"/>
        <v>&lt;=10</v>
      </c>
      <c r="L115" s="12">
        <f t="shared" si="22"/>
        <v>5.1999999999999998E-3</v>
      </c>
    </row>
    <row r="116" spans="1:12" hidden="1" x14ac:dyDescent="0.35">
      <c r="A116" t="s">
        <v>475</v>
      </c>
      <c r="B116" t="s">
        <v>476</v>
      </c>
      <c r="C116">
        <v>7.633E-3</v>
      </c>
      <c r="D116" t="s">
        <v>477</v>
      </c>
      <c r="E116">
        <f t="shared" ca="1" si="23"/>
        <v>2.9918241379054689E-2</v>
      </c>
      <c r="F116">
        <f t="shared" ca="1" si="24"/>
        <v>8.8241108742963658E-3</v>
      </c>
      <c r="G116">
        <f t="shared" ca="1" si="25"/>
        <v>1.9371176126675528E-2</v>
      </c>
      <c r="H116" t="str">
        <f t="shared" si="26"/>
        <v>0-0.05</v>
      </c>
      <c r="I116">
        <f t="shared" si="27"/>
        <v>7.5499505440158269E-3</v>
      </c>
      <c r="J116" s="2">
        <f t="shared" si="28"/>
        <v>8.3049455984173133E-5</v>
      </c>
      <c r="K116" t="str">
        <f t="shared" si="29"/>
        <v>&lt;=10</v>
      </c>
      <c r="L116" s="12">
        <f t="shared" si="22"/>
        <v>1.0999999999999999E-2</v>
      </c>
    </row>
    <row r="117" spans="1:12" hidden="1" x14ac:dyDescent="0.35">
      <c r="A117" t="s">
        <v>413</v>
      </c>
      <c r="B117" t="s">
        <v>414</v>
      </c>
      <c r="C117">
        <v>7.4697E-2</v>
      </c>
      <c r="D117" t="s">
        <v>264</v>
      </c>
      <c r="E117">
        <f t="shared" ca="1" si="23"/>
        <v>-1.1209323690378427E-2</v>
      </c>
      <c r="F117">
        <f t="shared" ca="1" si="24"/>
        <v>-5.8219749860174613E-2</v>
      </c>
      <c r="G117">
        <f t="shared" ca="1" si="25"/>
        <v>-3.4714536775276521E-2</v>
      </c>
      <c r="H117" t="str">
        <f t="shared" si="26"/>
        <v>0.05-0.5</v>
      </c>
      <c r="I117">
        <f t="shared" si="27"/>
        <v>7.4614923584057524E-2</v>
      </c>
      <c r="J117" s="2">
        <f t="shared" si="28"/>
        <v>8.2076415942475278E-5</v>
      </c>
      <c r="K117" t="str">
        <f t="shared" si="29"/>
        <v>&lt;=10</v>
      </c>
      <c r="L117" s="12">
        <f t="shared" si="22"/>
        <v>1.1000000000000001E-3</v>
      </c>
    </row>
    <row r="118" spans="1:12" hidden="1" x14ac:dyDescent="0.35">
      <c r="A118" t="s">
        <v>309</v>
      </c>
      <c r="B118" t="s">
        <v>310</v>
      </c>
      <c r="C118">
        <v>9.0589999999999993E-3</v>
      </c>
      <c r="D118" t="s">
        <v>311</v>
      </c>
      <c r="E118">
        <f t="shared" ca="1" si="23"/>
        <v>-1.1663115301100141E-2</v>
      </c>
      <c r="F118">
        <f t="shared" ca="1" si="24"/>
        <v>5.321955863043621E-2</v>
      </c>
      <c r="G118">
        <f t="shared" ca="1" si="25"/>
        <v>2.0778221664668035E-2</v>
      </c>
      <c r="H118" t="str">
        <f t="shared" si="26"/>
        <v>0-0.05</v>
      </c>
      <c r="I118">
        <f t="shared" si="27"/>
        <v>8.9799762093576534E-3</v>
      </c>
      <c r="J118" s="2">
        <f t="shared" si="28"/>
        <v>7.9023790642345978E-5</v>
      </c>
      <c r="K118" t="str">
        <f t="shared" si="29"/>
        <v>&lt;=10</v>
      </c>
      <c r="L118" s="12">
        <f t="shared" si="22"/>
        <v>8.8000000000000005E-3</v>
      </c>
    </row>
    <row r="119" spans="1:12" hidden="1" x14ac:dyDescent="0.35">
      <c r="A119" t="s">
        <v>251</v>
      </c>
      <c r="B119" t="s">
        <v>252</v>
      </c>
      <c r="C119">
        <v>1.3899999999999999E-2</v>
      </c>
      <c r="D119" t="s">
        <v>16</v>
      </c>
      <c r="E119">
        <f t="shared" ca="1" si="23"/>
        <v>1.5845424550998882E-2</v>
      </c>
      <c r="F119">
        <f t="shared" ca="1" si="24"/>
        <v>1.717260368641594E-2</v>
      </c>
      <c r="G119">
        <f t="shared" ca="1" si="25"/>
        <v>1.6509014118707411E-2</v>
      </c>
      <c r="H119" t="str">
        <f t="shared" si="26"/>
        <v>0-0.05</v>
      </c>
      <c r="I119">
        <f t="shared" si="27"/>
        <v>1.3823968175037293E-2</v>
      </c>
      <c r="J119" s="2">
        <f t="shared" si="28"/>
        <v>7.6031824962706496E-5</v>
      </c>
      <c r="K119" t="str">
        <f t="shared" si="29"/>
        <v>&lt;=10</v>
      </c>
      <c r="L119" s="12">
        <f t="shared" si="22"/>
        <v>5.4999999999999997E-3</v>
      </c>
    </row>
    <row r="120" spans="1:12" hidden="1" x14ac:dyDescent="0.35">
      <c r="A120" t="s">
        <v>262</v>
      </c>
      <c r="B120" t="s">
        <v>263</v>
      </c>
      <c r="C120">
        <v>6.6669999999999993E-2</v>
      </c>
      <c r="D120" t="s">
        <v>264</v>
      </c>
      <c r="E120">
        <f t="shared" ca="1" si="23"/>
        <v>-3.4911224466953501E-2</v>
      </c>
      <c r="F120">
        <f t="shared" ca="1" si="24"/>
        <v>-9.4848546403766623E-2</v>
      </c>
      <c r="G120">
        <f t="shared" ca="1" si="25"/>
        <v>-6.4879885435360066E-2</v>
      </c>
      <c r="H120" t="str">
        <f t="shared" si="26"/>
        <v>0.05-0.5</v>
      </c>
      <c r="I120">
        <f t="shared" si="27"/>
        <v>6.659674358205972E-2</v>
      </c>
      <c r="J120" s="2">
        <f t="shared" si="28"/>
        <v>7.3256417940273377E-5</v>
      </c>
      <c r="K120" t="str">
        <f t="shared" si="29"/>
        <v>&lt;=10</v>
      </c>
      <c r="L120" s="12">
        <f t="shared" si="22"/>
        <v>1.1000000000000001E-3</v>
      </c>
    </row>
    <row r="121" spans="1:12" hidden="1" x14ac:dyDescent="0.35">
      <c r="A121" t="s">
        <v>255</v>
      </c>
      <c r="B121" t="s">
        <v>256</v>
      </c>
      <c r="C121">
        <v>1.8370000000000001E-2</v>
      </c>
      <c r="D121" t="s">
        <v>257</v>
      </c>
      <c r="E121">
        <f t="shared" ca="1" si="23"/>
        <v>-4.5947226487913023E-2</v>
      </c>
      <c r="F121">
        <f t="shared" ca="1" si="24"/>
        <v>-4.9965701885476041E-2</v>
      </c>
      <c r="G121">
        <f t="shared" ca="1" si="25"/>
        <v>-4.7956464186694532E-2</v>
      </c>
      <c r="H121" t="str">
        <f t="shared" si="26"/>
        <v>0-0.05</v>
      </c>
      <c r="I121">
        <f t="shared" si="27"/>
        <v>1.8296812749003986E-2</v>
      </c>
      <c r="J121" s="2">
        <f t="shared" si="28"/>
        <v>7.3187250996014502E-5</v>
      </c>
      <c r="K121" t="str">
        <f t="shared" si="29"/>
        <v>&lt;=10</v>
      </c>
      <c r="L121" s="12">
        <f t="shared" si="22"/>
        <v>4.0000000000000001E-3</v>
      </c>
    </row>
    <row r="122" spans="1:12" hidden="1" x14ac:dyDescent="0.35">
      <c r="A122" t="s">
        <v>436</v>
      </c>
      <c r="B122" t="s">
        <v>437</v>
      </c>
      <c r="C122">
        <v>2.283E-2</v>
      </c>
      <c r="D122" t="s">
        <v>93</v>
      </c>
      <c r="E122">
        <f t="shared" ca="1" si="23"/>
        <v>-1.577906343136869E-2</v>
      </c>
      <c r="F122">
        <f t="shared" ca="1" si="24"/>
        <v>6.5122503238968371E-2</v>
      </c>
      <c r="G122">
        <f t="shared" ca="1" si="25"/>
        <v>2.4671719903799842E-2</v>
      </c>
      <c r="H122" t="str">
        <f t="shared" si="26"/>
        <v>0-0.05</v>
      </c>
      <c r="I122">
        <f t="shared" si="27"/>
        <v>2.275717703349282E-2</v>
      </c>
      <c r="J122" s="2">
        <f t="shared" si="28"/>
        <v>7.2822966507180009E-5</v>
      </c>
      <c r="K122" t="str">
        <f t="shared" si="29"/>
        <v>&lt;=10</v>
      </c>
      <c r="L122" s="12">
        <f t="shared" si="22"/>
        <v>3.2000000000000002E-3</v>
      </c>
    </row>
    <row r="123" spans="1:12" hidden="1" x14ac:dyDescent="0.35">
      <c r="A123" t="s">
        <v>348</v>
      </c>
      <c r="B123" t="s">
        <v>349</v>
      </c>
      <c r="C123">
        <v>5.5209999999999999E-3</v>
      </c>
      <c r="D123" t="s">
        <v>227</v>
      </c>
      <c r="E123">
        <f t="shared" ca="1" si="23"/>
        <v>-2.127476952366756E-2</v>
      </c>
      <c r="F123">
        <f t="shared" ca="1" si="24"/>
        <v>-4.5364665955056269E-3</v>
      </c>
      <c r="G123">
        <f t="shared" ca="1" si="25"/>
        <v>-1.2905618059586593E-2</v>
      </c>
      <c r="H123" t="str">
        <f t="shared" si="26"/>
        <v>0-0.05</v>
      </c>
      <c r="I123">
        <f t="shared" si="27"/>
        <v>5.4523010073079204E-3</v>
      </c>
      <c r="J123" s="2">
        <f t="shared" si="28"/>
        <v>6.8698992692079429E-5</v>
      </c>
      <c r="K123" t="str">
        <f t="shared" si="29"/>
        <v>&lt;=10</v>
      </c>
      <c r="L123" s="12">
        <f t="shared" si="22"/>
        <v>1.26E-2</v>
      </c>
    </row>
    <row r="124" spans="1:12" hidden="1" x14ac:dyDescent="0.35">
      <c r="A124" t="s">
        <v>354</v>
      </c>
      <c r="B124" t="s">
        <v>355</v>
      </c>
      <c r="C124">
        <v>2.954E-2</v>
      </c>
      <c r="D124" t="s">
        <v>293</v>
      </c>
      <c r="E124">
        <f t="shared" ca="1" si="23"/>
        <v>2.4540935949253606E-2</v>
      </c>
      <c r="F124">
        <f t="shared" ca="1" si="24"/>
        <v>-2.1693657521396761E-2</v>
      </c>
      <c r="G124">
        <f t="shared" ca="1" si="25"/>
        <v>1.4236392139284227E-3</v>
      </c>
      <c r="H124" t="str">
        <f t="shared" si="26"/>
        <v>0-0.05</v>
      </c>
      <c r="I124">
        <f t="shared" si="27"/>
        <v>2.9475154659748554E-2</v>
      </c>
      <c r="J124" s="2">
        <f t="shared" si="28"/>
        <v>6.4845340251445949E-5</v>
      </c>
      <c r="K124" t="str">
        <f t="shared" si="29"/>
        <v>&lt;=10</v>
      </c>
      <c r="L124" s="12">
        <f t="shared" si="22"/>
        <v>2.2000000000000001E-3</v>
      </c>
    </row>
    <row r="125" spans="1:12" hidden="1" x14ac:dyDescent="0.35">
      <c r="A125" t="s">
        <v>319</v>
      </c>
      <c r="B125" t="s">
        <v>320</v>
      </c>
      <c r="C125">
        <v>1.413E-2</v>
      </c>
      <c r="D125" t="s">
        <v>67</v>
      </c>
      <c r="E125">
        <f t="shared" ca="1" si="23"/>
        <v>-3.7511504172101445E-2</v>
      </c>
      <c r="F125">
        <f t="shared" ca="1" si="24"/>
        <v>-3.7184098834042875E-2</v>
      </c>
      <c r="G125">
        <f t="shared" ca="1" si="25"/>
        <v>-3.734780150307216E-2</v>
      </c>
      <c r="H125" t="str">
        <f t="shared" si="26"/>
        <v>0-0.05</v>
      </c>
      <c r="I125">
        <f t="shared" si="27"/>
        <v>1.4066699850671978E-2</v>
      </c>
      <c r="J125" s="2">
        <f t="shared" si="28"/>
        <v>6.3300149328022678E-5</v>
      </c>
      <c r="K125" t="str">
        <f t="shared" si="29"/>
        <v>&lt;=10</v>
      </c>
      <c r="L125" s="12">
        <f t="shared" si="22"/>
        <v>4.4999999999999997E-3</v>
      </c>
    </row>
    <row r="126" spans="1:12" hidden="1" x14ac:dyDescent="0.35">
      <c r="A126" t="s">
        <v>429</v>
      </c>
      <c r="B126" t="s">
        <v>430</v>
      </c>
      <c r="C126">
        <v>4.8439999999999997E-2</v>
      </c>
      <c r="D126" t="s">
        <v>264</v>
      </c>
      <c r="E126">
        <f t="shared" ca="1" si="23"/>
        <v>-4.7618492135500137E-2</v>
      </c>
      <c r="F126">
        <f t="shared" ca="1" si="24"/>
        <v>-4.5935517456342341E-2</v>
      </c>
      <c r="G126">
        <f t="shared" ca="1" si="25"/>
        <v>-4.6777004795921243E-2</v>
      </c>
      <c r="H126" t="str">
        <f t="shared" si="26"/>
        <v>0-0.05</v>
      </c>
      <c r="I126">
        <f t="shared" si="27"/>
        <v>4.8386774547997197E-2</v>
      </c>
      <c r="J126" s="2">
        <f t="shared" si="28"/>
        <v>5.3225452002800266E-5</v>
      </c>
      <c r="K126" t="str">
        <f t="shared" si="29"/>
        <v>&lt;=10</v>
      </c>
      <c r="L126" s="12">
        <f t="shared" si="22"/>
        <v>1.1000000000000001E-3</v>
      </c>
    </row>
    <row r="127" spans="1:12" hidden="1" x14ac:dyDescent="0.35">
      <c r="A127" t="s">
        <v>269</v>
      </c>
      <c r="B127" t="s">
        <v>270</v>
      </c>
      <c r="C127">
        <v>7.5079999999999994E-2</v>
      </c>
      <c r="D127" t="s">
        <v>163</v>
      </c>
      <c r="E127">
        <f t="shared" ca="1" si="23"/>
        <v>-1.5053108024825512E-2</v>
      </c>
      <c r="F127">
        <f t="shared" ca="1" si="24"/>
        <v>-7.0228697428907944E-2</v>
      </c>
      <c r="G127">
        <f t="shared" ca="1" si="25"/>
        <v>-4.2640902726866728E-2</v>
      </c>
      <c r="H127" t="str">
        <f t="shared" si="26"/>
        <v>0.05-0.5</v>
      </c>
      <c r="I127">
        <f t="shared" si="27"/>
        <v>7.5027480763465576E-2</v>
      </c>
      <c r="J127" s="2">
        <f t="shared" si="28"/>
        <v>5.2519236534417924E-5</v>
      </c>
      <c r="K127" t="str">
        <f t="shared" si="29"/>
        <v>&lt;=10</v>
      </c>
      <c r="L127" s="12">
        <f t="shared" si="22"/>
        <v>6.9999999999999999E-4</v>
      </c>
    </row>
    <row r="128" spans="1:12" hidden="1" x14ac:dyDescent="0.35">
      <c r="A128" t="s">
        <v>297</v>
      </c>
      <c r="B128" t="s">
        <v>298</v>
      </c>
      <c r="C128">
        <v>1.163E-2</v>
      </c>
      <c r="D128" t="s">
        <v>230</v>
      </c>
      <c r="E128">
        <f t="shared" ca="1" si="23"/>
        <v>3.2556487201747364E-2</v>
      </c>
      <c r="F128">
        <f t="shared" ca="1" si="24"/>
        <v>2.1799676132741402E-2</v>
      </c>
      <c r="G128">
        <f t="shared" ca="1" si="25"/>
        <v>2.7178081667244385E-2</v>
      </c>
      <c r="H128" t="str">
        <f t="shared" si="26"/>
        <v>0-0.05</v>
      </c>
      <c r="I128">
        <f t="shared" si="27"/>
        <v>1.1581358295160327E-2</v>
      </c>
      <c r="J128" s="2">
        <f t="shared" si="28"/>
        <v>4.8641704839673047E-5</v>
      </c>
      <c r="K128" t="str">
        <f t="shared" si="29"/>
        <v>&lt;=10</v>
      </c>
      <c r="L128" s="12">
        <f t="shared" si="22"/>
        <v>4.1999999999999997E-3</v>
      </c>
    </row>
    <row r="129" spans="1:12" hidden="1" x14ac:dyDescent="0.35">
      <c r="A129" t="s">
        <v>284</v>
      </c>
      <c r="B129" t="s">
        <v>285</v>
      </c>
      <c r="C129">
        <v>7.8300000000000002E-3</v>
      </c>
      <c r="D129" t="s">
        <v>286</v>
      </c>
      <c r="E129">
        <f t="shared" ca="1" si="23"/>
        <v>4.5880429494067371E-2</v>
      </c>
      <c r="F129">
        <f t="shared" ca="1" si="24"/>
        <v>-5.5598053793983561E-2</v>
      </c>
      <c r="G129">
        <f t="shared" ca="1" si="25"/>
        <v>-4.8588121499580951E-3</v>
      </c>
      <c r="H129" t="str">
        <f t="shared" si="26"/>
        <v>0-0.05</v>
      </c>
      <c r="I129">
        <f t="shared" si="27"/>
        <v>7.7902696249129433E-3</v>
      </c>
      <c r="J129" s="2">
        <f t="shared" si="28"/>
        <v>3.9730375087056874E-5</v>
      </c>
      <c r="K129" t="str">
        <f t="shared" si="29"/>
        <v>&lt;=10</v>
      </c>
      <c r="L129" s="12">
        <f t="shared" si="22"/>
        <v>5.1000000000000004E-3</v>
      </c>
    </row>
    <row r="130" spans="1:12" hidden="1" x14ac:dyDescent="0.35">
      <c r="A130" t="s">
        <v>212</v>
      </c>
      <c r="B130" t="s">
        <v>213</v>
      </c>
      <c r="C130">
        <v>3.9259999999999998E-3</v>
      </c>
      <c r="D130" t="s">
        <v>29</v>
      </c>
      <c r="E130">
        <f t="shared" ref="E130:E161" ca="1" si="30">D130 + (RAND()-0.5)/10</f>
        <v>5.6525980400420704E-3</v>
      </c>
      <c r="F130">
        <f t="shared" ref="F130:F161" ca="1" si="31">D130 + (RAND()-0.5)/5</f>
        <v>-7.297845619050701E-2</v>
      </c>
      <c r="G130">
        <f t="shared" ref="G130:G161" ca="1" si="32">AVERAGE(D130,E130,F130)</f>
        <v>-3.3662929075232467E-2</v>
      </c>
      <c r="H130" t="str">
        <f t="shared" ref="H130:H161" si="33">IF(C130&lt;=0.05,"0-0.05",
IF(C130&lt;=0.5,"0.05-0.5",
IF(C130&lt;=5,"0.5-5",
IF(C130&lt;=50,"5-50","&gt;50"))))</f>
        <v>0-0.05</v>
      </c>
      <c r="I130">
        <f t="shared" ref="I130:I161" si="34">C130/(1+D130)</f>
        <v>3.8894392708539722E-3</v>
      </c>
      <c r="J130" s="2">
        <f t="shared" ref="J130:J161" si="35">C130-I130</f>
        <v>3.6560729146027562E-5</v>
      </c>
      <c r="K130" t="str">
        <f t="shared" ref="K130:K161" si="36">IF(C130&lt;=10,"&lt;=10","&gt;=10")</f>
        <v>&lt;=10</v>
      </c>
      <c r="L130" s="12">
        <f t="shared" ref="L130:L193" si="37">VALUE(D130)</f>
        <v>9.4000000000000004E-3</v>
      </c>
    </row>
    <row r="131" spans="1:12" hidden="1" x14ac:dyDescent="0.35">
      <c r="A131" t="s">
        <v>146</v>
      </c>
      <c r="B131" t="s">
        <v>147</v>
      </c>
      <c r="C131">
        <v>6.2719999999999998E-3</v>
      </c>
      <c r="D131" t="s">
        <v>148</v>
      </c>
      <c r="E131">
        <f t="shared" ca="1" si="30"/>
        <v>-3.2338695362254241E-2</v>
      </c>
      <c r="F131">
        <f t="shared" ca="1" si="31"/>
        <v>2.6267162642957882E-2</v>
      </c>
      <c r="G131">
        <f t="shared" ca="1" si="32"/>
        <v>-3.0357663596481798E-3</v>
      </c>
      <c r="H131" t="str">
        <f t="shared" si="33"/>
        <v>0-0.05</v>
      </c>
      <c r="I131">
        <f t="shared" si="34"/>
        <v>6.2389336516462737E-3</v>
      </c>
      <c r="J131" s="2">
        <f t="shared" si="35"/>
        <v>3.3066348353726072E-5</v>
      </c>
      <c r="K131" t="str">
        <f t="shared" si="36"/>
        <v>&lt;=10</v>
      </c>
      <c r="L131" s="12">
        <f t="shared" si="37"/>
        <v>5.3E-3</v>
      </c>
    </row>
    <row r="132" spans="1:12" hidden="1" x14ac:dyDescent="0.35">
      <c r="A132" t="s">
        <v>446</v>
      </c>
      <c r="B132" t="s">
        <v>446</v>
      </c>
      <c r="C132">
        <v>2.032E-3</v>
      </c>
      <c r="D132" t="s">
        <v>447</v>
      </c>
      <c r="E132">
        <f t="shared" ca="1" si="30"/>
        <v>4.5396880335986114E-2</v>
      </c>
      <c r="F132">
        <f t="shared" ca="1" si="31"/>
        <v>0.10801742218145208</v>
      </c>
      <c r="G132">
        <f t="shared" ca="1" si="32"/>
        <v>7.6707151258719103E-2</v>
      </c>
      <c r="H132" t="str">
        <f t="shared" si="33"/>
        <v>0-0.05</v>
      </c>
      <c r="I132">
        <f t="shared" si="34"/>
        <v>2.0007877116975186E-3</v>
      </c>
      <c r="J132" s="2">
        <f t="shared" si="35"/>
        <v>3.1212288302481361E-5</v>
      </c>
      <c r="K132" t="str">
        <f t="shared" si="36"/>
        <v>&lt;=10</v>
      </c>
      <c r="L132" s="12">
        <f t="shared" si="37"/>
        <v>1.5599999999999999E-2</v>
      </c>
    </row>
    <row r="133" spans="1:12" hidden="1" x14ac:dyDescent="0.35">
      <c r="A133" t="s">
        <v>442</v>
      </c>
      <c r="B133" t="s">
        <v>443</v>
      </c>
      <c r="C133">
        <v>2.003E-3</v>
      </c>
      <c r="D133" t="s">
        <v>250</v>
      </c>
      <c r="E133">
        <f t="shared" ca="1" si="30"/>
        <v>2.8922405447537658E-2</v>
      </c>
      <c r="F133">
        <f t="shared" ca="1" si="31"/>
        <v>5.1160837614152611E-2</v>
      </c>
      <c r="G133">
        <f t="shared" ca="1" si="32"/>
        <v>4.0041621530845131E-2</v>
      </c>
      <c r="H133" t="str">
        <f t="shared" si="33"/>
        <v>0-0.05</v>
      </c>
      <c r="I133">
        <f t="shared" si="34"/>
        <v>1.9718448513486907E-3</v>
      </c>
      <c r="J133" s="2">
        <f t="shared" si="35"/>
        <v>3.1155148651309302E-5</v>
      </c>
      <c r="K133" t="str">
        <f t="shared" si="36"/>
        <v>&lt;=10</v>
      </c>
      <c r="L133" s="12">
        <f t="shared" si="37"/>
        <v>1.5800000000000002E-2</v>
      </c>
    </row>
    <row r="134" spans="1:12" hidden="1" x14ac:dyDescent="0.35">
      <c r="A134" t="s">
        <v>236</v>
      </c>
      <c r="B134" t="s">
        <v>237</v>
      </c>
      <c r="C134">
        <v>2.5230000000000001E-3</v>
      </c>
      <c r="D134" t="s">
        <v>238</v>
      </c>
      <c r="E134">
        <f t="shared" ca="1" si="30"/>
        <v>-3.4366905928730485E-2</v>
      </c>
      <c r="F134">
        <f t="shared" ca="1" si="31"/>
        <v>-4.5590346304684289E-2</v>
      </c>
      <c r="G134">
        <f t="shared" ca="1" si="32"/>
        <v>-3.9978626116707383E-2</v>
      </c>
      <c r="H134" t="str">
        <f t="shared" si="33"/>
        <v>0-0.05</v>
      </c>
      <c r="I134">
        <f t="shared" si="34"/>
        <v>2.4920979849861716E-3</v>
      </c>
      <c r="J134" s="2">
        <f t="shared" si="35"/>
        <v>3.0902015013828475E-5</v>
      </c>
      <c r="K134" t="str">
        <f t="shared" si="36"/>
        <v>&lt;=10</v>
      </c>
      <c r="L134" s="12">
        <f t="shared" si="37"/>
        <v>1.24E-2</v>
      </c>
    </row>
    <row r="135" spans="1:12" hidden="1" x14ac:dyDescent="0.35">
      <c r="A135" t="s">
        <v>122</v>
      </c>
      <c r="B135" t="s">
        <v>123</v>
      </c>
      <c r="C135">
        <v>1.5169999999999999E-3</v>
      </c>
      <c r="D135" t="s">
        <v>124</v>
      </c>
      <c r="E135">
        <f t="shared" ca="1" si="30"/>
        <v>3.8545362306170464E-2</v>
      </c>
      <c r="F135">
        <f t="shared" ca="1" si="31"/>
        <v>3.8582609158101085E-2</v>
      </c>
      <c r="G135">
        <f t="shared" ca="1" si="32"/>
        <v>3.8563985732135778E-2</v>
      </c>
      <c r="H135" t="str">
        <f t="shared" si="33"/>
        <v>0-0.05</v>
      </c>
      <c r="I135">
        <f t="shared" si="34"/>
        <v>1.4890066745190419E-3</v>
      </c>
      <c r="J135" s="2">
        <f t="shared" si="35"/>
        <v>2.7993325480957969E-5</v>
      </c>
      <c r="K135" t="str">
        <f t="shared" si="36"/>
        <v>&lt;=10</v>
      </c>
      <c r="L135" s="12">
        <f t="shared" si="37"/>
        <v>1.8800000000000001E-2</v>
      </c>
    </row>
    <row r="136" spans="1:12" hidden="1" x14ac:dyDescent="0.35">
      <c r="A136" t="s">
        <v>467</v>
      </c>
      <c r="B136" t="s">
        <v>468</v>
      </c>
      <c r="C136">
        <v>9.6310000000000007E-3</v>
      </c>
      <c r="D136" t="s">
        <v>469</v>
      </c>
      <c r="E136">
        <f t="shared" ca="1" si="30"/>
        <v>3.6106285893959825E-2</v>
      </c>
      <c r="F136">
        <f t="shared" ca="1" si="31"/>
        <v>9.9880951779611371E-2</v>
      </c>
      <c r="G136">
        <f t="shared" ca="1" si="32"/>
        <v>6.7993618836785591E-2</v>
      </c>
      <c r="H136" t="str">
        <f t="shared" si="33"/>
        <v>0-0.05</v>
      </c>
      <c r="I136">
        <f t="shared" si="34"/>
        <v>9.6041084962106126E-3</v>
      </c>
      <c r="J136" s="2">
        <f t="shared" si="35"/>
        <v>2.6891503789388052E-5</v>
      </c>
      <c r="K136" t="str">
        <f t="shared" si="36"/>
        <v>&lt;=10</v>
      </c>
      <c r="L136" s="12">
        <f t="shared" si="37"/>
        <v>2.8E-3</v>
      </c>
    </row>
    <row r="137" spans="1:12" hidden="1" x14ac:dyDescent="0.35">
      <c r="A137" t="s">
        <v>128</v>
      </c>
      <c r="B137" t="s">
        <v>129</v>
      </c>
      <c r="C137">
        <v>1.5440000000000001E-2</v>
      </c>
      <c r="D137" t="s">
        <v>130</v>
      </c>
      <c r="E137">
        <f t="shared" ca="1" si="30"/>
        <v>-4.756636597875654E-2</v>
      </c>
      <c r="F137">
        <f t="shared" ca="1" si="31"/>
        <v>-4.4085128871889569E-2</v>
      </c>
      <c r="G137">
        <f t="shared" ca="1" si="32"/>
        <v>-4.5825747425323055E-2</v>
      </c>
      <c r="H137" t="str">
        <f t="shared" si="33"/>
        <v>0-0.05</v>
      </c>
      <c r="I137">
        <f t="shared" si="34"/>
        <v>1.5413796545872018E-2</v>
      </c>
      <c r="J137" s="2">
        <f t="shared" si="35"/>
        <v>2.6203454127982431E-5</v>
      </c>
      <c r="K137" t="str">
        <f t="shared" si="36"/>
        <v>&lt;=10</v>
      </c>
      <c r="L137" s="12">
        <f t="shared" si="37"/>
        <v>1.6999999999999999E-3</v>
      </c>
    </row>
    <row r="138" spans="1:12" hidden="1" x14ac:dyDescent="0.35">
      <c r="A138" t="s">
        <v>458</v>
      </c>
      <c r="B138" t="s">
        <v>459</v>
      </c>
      <c r="C138">
        <v>2.4190000000000001E-3</v>
      </c>
      <c r="D138" t="s">
        <v>422</v>
      </c>
      <c r="E138">
        <f t="shared" ca="1" si="30"/>
        <v>-1.3314665788132538E-2</v>
      </c>
      <c r="F138">
        <f t="shared" ca="1" si="31"/>
        <v>4.7082869771173957E-2</v>
      </c>
      <c r="G138">
        <f t="shared" ca="1" si="32"/>
        <v>1.6884101991520711E-2</v>
      </c>
      <c r="H138" t="str">
        <f t="shared" si="33"/>
        <v>0-0.05</v>
      </c>
      <c r="I138">
        <f t="shared" si="34"/>
        <v>2.3957611171635139E-3</v>
      </c>
      <c r="J138" s="2">
        <f t="shared" si="35"/>
        <v>2.3238882836486285E-5</v>
      </c>
      <c r="K138" t="str">
        <f t="shared" si="36"/>
        <v>&lt;=10</v>
      </c>
      <c r="L138" s="12">
        <f t="shared" si="37"/>
        <v>9.7000000000000003E-3</v>
      </c>
    </row>
    <row r="139" spans="1:12" hidden="1" x14ac:dyDescent="0.35">
      <c r="A139" t="s">
        <v>260</v>
      </c>
      <c r="B139" t="s">
        <v>261</v>
      </c>
      <c r="C139">
        <v>7.1993000000000001E-2</v>
      </c>
      <c r="D139" t="s">
        <v>23</v>
      </c>
      <c r="E139">
        <f t="shared" ca="1" si="30"/>
        <v>3.7084046647259575E-2</v>
      </c>
      <c r="F139">
        <f t="shared" ca="1" si="31"/>
        <v>4.7734661741881561E-2</v>
      </c>
      <c r="G139">
        <f t="shared" ca="1" si="32"/>
        <v>4.2409354194570564E-2</v>
      </c>
      <c r="H139" t="str">
        <f t="shared" si="33"/>
        <v>0.05-0.5</v>
      </c>
      <c r="I139">
        <f t="shared" si="34"/>
        <v>7.1971408577426774E-2</v>
      </c>
      <c r="J139" s="2">
        <f t="shared" si="35"/>
        <v>2.159142257322777E-5</v>
      </c>
      <c r="K139" t="str">
        <f t="shared" si="36"/>
        <v>&lt;=10</v>
      </c>
      <c r="L139" s="12">
        <f t="shared" si="37"/>
        <v>2.9999999999999997E-4</v>
      </c>
    </row>
    <row r="140" spans="1:12" hidden="1" x14ac:dyDescent="0.35">
      <c r="A140" t="s">
        <v>271</v>
      </c>
      <c r="B140" t="s">
        <v>272</v>
      </c>
      <c r="C140">
        <v>2.934E-3</v>
      </c>
      <c r="D140" t="s">
        <v>273</v>
      </c>
      <c r="E140">
        <f t="shared" ca="1" si="30"/>
        <v>-4.234363003703677E-2</v>
      </c>
      <c r="F140">
        <f t="shared" ca="1" si="31"/>
        <v>4.9245619294797496E-2</v>
      </c>
      <c r="G140">
        <f t="shared" ca="1" si="32"/>
        <v>3.4509946288803633E-3</v>
      </c>
      <c r="H140" t="str">
        <f t="shared" si="33"/>
        <v>0-0.05</v>
      </c>
      <c r="I140">
        <f t="shared" si="34"/>
        <v>2.9127370197557824E-3</v>
      </c>
      <c r="J140" s="2">
        <f t="shared" si="35"/>
        <v>2.1262980244217584E-5</v>
      </c>
      <c r="K140" t="str">
        <f t="shared" si="36"/>
        <v>&lt;=10</v>
      </c>
      <c r="L140" s="12">
        <f t="shared" si="37"/>
        <v>7.3000000000000001E-3</v>
      </c>
    </row>
    <row r="141" spans="1:12" hidden="1" x14ac:dyDescent="0.35">
      <c r="A141" t="s">
        <v>152</v>
      </c>
      <c r="B141" t="s">
        <v>153</v>
      </c>
      <c r="C141">
        <v>1.1769999999999999E-2</v>
      </c>
      <c r="D141" t="s">
        <v>154</v>
      </c>
      <c r="E141">
        <f t="shared" ca="1" si="30"/>
        <v>3.1610291251379409E-2</v>
      </c>
      <c r="F141">
        <f t="shared" ca="1" si="31"/>
        <v>3.6007266492592803E-2</v>
      </c>
      <c r="G141">
        <f t="shared" ca="1" si="32"/>
        <v>3.3808778871986106E-2</v>
      </c>
      <c r="H141" t="str">
        <f t="shared" si="33"/>
        <v>0-0.05</v>
      </c>
      <c r="I141">
        <f t="shared" si="34"/>
        <v>1.1748852066280693E-2</v>
      </c>
      <c r="J141" s="2">
        <f t="shared" si="35"/>
        <v>2.1147933719305873E-5</v>
      </c>
      <c r="K141" t="str">
        <f t="shared" si="36"/>
        <v>&lt;=10</v>
      </c>
      <c r="L141" s="12">
        <f t="shared" si="37"/>
        <v>1.8E-3</v>
      </c>
    </row>
    <row r="142" spans="1:12" hidden="1" x14ac:dyDescent="0.35">
      <c r="A142" t="s">
        <v>431</v>
      </c>
      <c r="B142" t="s">
        <v>432</v>
      </c>
      <c r="C142">
        <v>5.2623999999999997E-2</v>
      </c>
      <c r="D142" t="s">
        <v>14</v>
      </c>
      <c r="E142">
        <f t="shared" ca="1" si="30"/>
        <v>-1.0139535252292834E-3</v>
      </c>
      <c r="F142">
        <f t="shared" ca="1" si="31"/>
        <v>5.9403131943077246E-2</v>
      </c>
      <c r="G142">
        <f t="shared" ca="1" si="32"/>
        <v>2.9194589208923982E-2</v>
      </c>
      <c r="H142" t="str">
        <f t="shared" si="33"/>
        <v>0.05-0.5</v>
      </c>
      <c r="I142">
        <f t="shared" si="34"/>
        <v>5.2602958816473408E-2</v>
      </c>
      <c r="J142" s="2">
        <f t="shared" si="35"/>
        <v>2.104118352658918E-5</v>
      </c>
      <c r="K142" t="str">
        <f t="shared" si="36"/>
        <v>&lt;=10</v>
      </c>
      <c r="L142" s="12">
        <f t="shared" si="37"/>
        <v>4.0000000000000002E-4</v>
      </c>
    </row>
    <row r="143" spans="1:12" hidden="1" x14ac:dyDescent="0.35">
      <c r="A143" t="s">
        <v>438</v>
      </c>
      <c r="B143" t="s">
        <v>438</v>
      </c>
      <c r="C143">
        <v>2.6020000000000001E-3</v>
      </c>
      <c r="D143" t="s">
        <v>439</v>
      </c>
      <c r="E143">
        <f t="shared" ca="1" si="30"/>
        <v>-3.2484236534119519E-2</v>
      </c>
      <c r="F143">
        <f t="shared" ca="1" si="31"/>
        <v>5.6802589309371494E-2</v>
      </c>
      <c r="G143">
        <f t="shared" ca="1" si="32"/>
        <v>1.2159176387625988E-2</v>
      </c>
      <c r="H143" t="str">
        <f t="shared" si="33"/>
        <v>0-0.05</v>
      </c>
      <c r="I143">
        <f t="shared" si="34"/>
        <v>2.5813492063492065E-3</v>
      </c>
      <c r="J143" s="2">
        <f t="shared" si="35"/>
        <v>2.0650793650793618E-5</v>
      </c>
      <c r="K143" t="str">
        <f t="shared" si="36"/>
        <v>&lt;=10</v>
      </c>
      <c r="L143" s="12">
        <f t="shared" si="37"/>
        <v>8.0000000000000002E-3</v>
      </c>
    </row>
    <row r="144" spans="1:12" hidden="1" x14ac:dyDescent="0.35">
      <c r="A144" t="s">
        <v>281</v>
      </c>
      <c r="B144" t="s">
        <v>282</v>
      </c>
      <c r="C144">
        <v>4.9510000000000005E-4</v>
      </c>
      <c r="D144" t="s">
        <v>283</v>
      </c>
      <c r="E144">
        <f t="shared" ca="1" si="30"/>
        <v>4.8140621855534173E-2</v>
      </c>
      <c r="F144">
        <f t="shared" ca="1" si="31"/>
        <v>7.9452481763604282E-2</v>
      </c>
      <c r="G144">
        <f t="shared" ca="1" si="32"/>
        <v>6.3796551809569224E-2</v>
      </c>
      <c r="H144" t="str">
        <f t="shared" si="33"/>
        <v>0-0.05</v>
      </c>
      <c r="I144">
        <f t="shared" si="34"/>
        <v>4.7582892839980785E-4</v>
      </c>
      <c r="J144" s="2">
        <f t="shared" si="35"/>
        <v>1.9271071600192205E-5</v>
      </c>
      <c r="K144" t="str">
        <f t="shared" si="36"/>
        <v>&lt;=10</v>
      </c>
      <c r="L144" s="12">
        <f t="shared" si="37"/>
        <v>4.0500000000000001E-2</v>
      </c>
    </row>
    <row r="145" spans="1:12" hidden="1" x14ac:dyDescent="0.35">
      <c r="A145" t="s">
        <v>364</v>
      </c>
      <c r="B145" t="s">
        <v>365</v>
      </c>
      <c r="C145">
        <v>5.1869999999999998E-3</v>
      </c>
      <c r="D145" t="s">
        <v>366</v>
      </c>
      <c r="E145">
        <f t="shared" ca="1" si="30"/>
        <v>-1.3911832153850405E-2</v>
      </c>
      <c r="F145">
        <f t="shared" ca="1" si="31"/>
        <v>-1.5842478035585417E-2</v>
      </c>
      <c r="G145">
        <f t="shared" ca="1" si="32"/>
        <v>-1.487715509471791E-2</v>
      </c>
      <c r="H145" t="str">
        <f t="shared" si="33"/>
        <v>0-0.05</v>
      </c>
      <c r="I145">
        <f t="shared" si="34"/>
        <v>5.1678788482614323E-3</v>
      </c>
      <c r="J145" s="2">
        <f t="shared" si="35"/>
        <v>1.9121151738567439E-5</v>
      </c>
      <c r="K145" t="str">
        <f t="shared" si="36"/>
        <v>&lt;=10</v>
      </c>
      <c r="L145" s="12">
        <f t="shared" si="37"/>
        <v>3.7000000000000002E-3</v>
      </c>
    </row>
    <row r="146" spans="1:12" hidden="1" x14ac:dyDescent="0.35">
      <c r="A146" t="s">
        <v>155</v>
      </c>
      <c r="B146" t="s">
        <v>156</v>
      </c>
      <c r="C146">
        <v>1.253E-3</v>
      </c>
      <c r="D146" t="s">
        <v>157</v>
      </c>
      <c r="E146">
        <f t="shared" ca="1" si="30"/>
        <v>3.489954331774818E-2</v>
      </c>
      <c r="F146">
        <f t="shared" ca="1" si="31"/>
        <v>4.5858458737578739E-2</v>
      </c>
      <c r="G146">
        <f t="shared" ca="1" si="32"/>
        <v>4.0379001027663459E-2</v>
      </c>
      <c r="H146" t="str">
        <f t="shared" si="33"/>
        <v>0-0.05</v>
      </c>
      <c r="I146">
        <f t="shared" si="34"/>
        <v>1.2341179946813749E-3</v>
      </c>
      <c r="J146" s="2">
        <f t="shared" si="35"/>
        <v>1.8882005318625111E-5</v>
      </c>
      <c r="K146" t="str">
        <f t="shared" si="36"/>
        <v>&lt;=10</v>
      </c>
      <c r="L146" s="12">
        <f t="shared" si="37"/>
        <v>1.5299999999999999E-2</v>
      </c>
    </row>
    <row r="147" spans="1:12" hidden="1" x14ac:dyDescent="0.35">
      <c r="A147" t="s">
        <v>279</v>
      </c>
      <c r="B147" t="s">
        <v>280</v>
      </c>
      <c r="C147">
        <v>0.18229999999999999</v>
      </c>
      <c r="D147" t="s">
        <v>62</v>
      </c>
      <c r="E147">
        <f t="shared" ca="1" si="30"/>
        <v>-3.2053809548577457E-2</v>
      </c>
      <c r="F147">
        <f t="shared" ca="1" si="31"/>
        <v>1.8580080739176396E-2</v>
      </c>
      <c r="G147">
        <f t="shared" ca="1" si="32"/>
        <v>-6.7368644047005304E-3</v>
      </c>
      <c r="H147" t="str">
        <f t="shared" si="33"/>
        <v>0.05-0.5</v>
      </c>
      <c r="I147">
        <f t="shared" si="34"/>
        <v>0.18228177182281771</v>
      </c>
      <c r="J147" s="2">
        <f t="shared" si="35"/>
        <v>1.8228177182277872E-5</v>
      </c>
      <c r="K147" t="str">
        <f t="shared" si="36"/>
        <v>&lt;=10</v>
      </c>
      <c r="L147" s="12">
        <f t="shared" si="37"/>
        <v>1E-4</v>
      </c>
    </row>
    <row r="148" spans="1:12" hidden="1" x14ac:dyDescent="0.35">
      <c r="A148" t="s">
        <v>287</v>
      </c>
      <c r="B148" t="s">
        <v>288</v>
      </c>
      <c r="C148">
        <v>5.5989999999999998E-2</v>
      </c>
      <c r="D148" t="s">
        <v>23</v>
      </c>
      <c r="E148">
        <f t="shared" ca="1" si="30"/>
        <v>-4.3151965524792731E-2</v>
      </c>
      <c r="F148">
        <f t="shared" ca="1" si="31"/>
        <v>-4.3694957751292986E-2</v>
      </c>
      <c r="G148">
        <f t="shared" ca="1" si="32"/>
        <v>-4.3423461638042858E-2</v>
      </c>
      <c r="H148" t="str">
        <f t="shared" si="33"/>
        <v>0.05-0.5</v>
      </c>
      <c r="I148">
        <f t="shared" si="34"/>
        <v>5.597320803758872E-2</v>
      </c>
      <c r="J148" s="2">
        <f t="shared" si="35"/>
        <v>1.6791962411277783E-5</v>
      </c>
      <c r="K148" t="str">
        <f t="shared" si="36"/>
        <v>&lt;=10</v>
      </c>
      <c r="L148" s="12">
        <f t="shared" si="37"/>
        <v>2.9999999999999997E-4</v>
      </c>
    </row>
    <row r="149" spans="1:12" hidden="1" x14ac:dyDescent="0.35">
      <c r="A149" t="s">
        <v>194</v>
      </c>
      <c r="B149" t="s">
        <v>195</v>
      </c>
      <c r="C149">
        <v>2.1000000000000001E-2</v>
      </c>
      <c r="D149" t="s">
        <v>196</v>
      </c>
      <c r="E149">
        <f t="shared" ca="1" si="30"/>
        <v>-1.6418392329357382E-2</v>
      </c>
      <c r="F149">
        <f t="shared" ca="1" si="31"/>
        <v>7.5755482780625438E-2</v>
      </c>
      <c r="G149">
        <f t="shared" ca="1" si="32"/>
        <v>2.966854522563403E-2</v>
      </c>
      <c r="H149" t="str">
        <f t="shared" si="33"/>
        <v>0-0.05</v>
      </c>
      <c r="I149">
        <f t="shared" si="34"/>
        <v>2.09832134292566E-2</v>
      </c>
      <c r="J149" s="2">
        <f t="shared" si="35"/>
        <v>1.678657074340173E-5</v>
      </c>
      <c r="K149" t="str">
        <f t="shared" si="36"/>
        <v>&lt;=10</v>
      </c>
      <c r="L149" s="12">
        <f t="shared" si="37"/>
        <v>8.0000000000000004E-4</v>
      </c>
    </row>
    <row r="150" spans="1:12" hidden="1" x14ac:dyDescent="0.35">
      <c r="A150" t="s">
        <v>433</v>
      </c>
      <c r="B150" t="s">
        <v>434</v>
      </c>
      <c r="C150">
        <v>2.5270000000000002E-3</v>
      </c>
      <c r="D150" t="s">
        <v>435</v>
      </c>
      <c r="E150">
        <f t="shared" ca="1" si="30"/>
        <v>3.0101177708434929E-2</v>
      </c>
      <c r="F150">
        <f t="shared" ca="1" si="31"/>
        <v>5.5298053788041299E-2</v>
      </c>
      <c r="G150">
        <f t="shared" ca="1" si="32"/>
        <v>4.2699615748238114E-2</v>
      </c>
      <c r="H150" t="str">
        <f t="shared" si="33"/>
        <v>0-0.05</v>
      </c>
      <c r="I150">
        <f t="shared" si="34"/>
        <v>2.5121781489213643E-3</v>
      </c>
      <c r="J150" s="2">
        <f t="shared" si="35"/>
        <v>1.4821851078635883E-5</v>
      </c>
      <c r="K150" t="str">
        <f t="shared" si="36"/>
        <v>&lt;=10</v>
      </c>
      <c r="L150" s="12">
        <f t="shared" si="37"/>
        <v>5.8999999999999999E-3</v>
      </c>
    </row>
    <row r="151" spans="1:12" hidden="1" x14ac:dyDescent="0.35">
      <c r="A151" t="s">
        <v>497</v>
      </c>
      <c r="B151" t="s">
        <v>498</v>
      </c>
      <c r="C151">
        <v>1.3799999999999999E-4</v>
      </c>
      <c r="D151" t="s">
        <v>499</v>
      </c>
      <c r="E151">
        <f t="shared" ca="1" si="30"/>
        <v>0.15768583730115304</v>
      </c>
      <c r="F151">
        <f t="shared" ca="1" si="31"/>
        <v>0.1696209557181117</v>
      </c>
      <c r="G151">
        <f t="shared" ca="1" si="32"/>
        <v>0.16365339650963237</v>
      </c>
      <c r="H151" t="str">
        <f t="shared" si="33"/>
        <v>0-0.05</v>
      </c>
      <c r="I151">
        <f t="shared" si="34"/>
        <v>1.234678357340968E-4</v>
      </c>
      <c r="J151" s="2">
        <f t="shared" si="35"/>
        <v>1.4532164265903196E-5</v>
      </c>
      <c r="K151" t="str">
        <f t="shared" si="36"/>
        <v>&lt;=10</v>
      </c>
      <c r="L151" s="12">
        <f t="shared" si="37"/>
        <v>0.1177</v>
      </c>
    </row>
    <row r="152" spans="1:12" hidden="1" x14ac:dyDescent="0.35">
      <c r="A152" t="s">
        <v>167</v>
      </c>
      <c r="B152" t="s">
        <v>168</v>
      </c>
      <c r="C152">
        <v>2.875E-3</v>
      </c>
      <c r="D152" t="s">
        <v>67</v>
      </c>
      <c r="E152">
        <f t="shared" ca="1" si="30"/>
        <v>-3.903468959051349E-2</v>
      </c>
      <c r="F152">
        <f t="shared" ca="1" si="31"/>
        <v>-3.6143559018664437E-2</v>
      </c>
      <c r="G152">
        <f t="shared" ca="1" si="32"/>
        <v>-3.7589124304588967E-2</v>
      </c>
      <c r="H152" t="str">
        <f t="shared" si="33"/>
        <v>0-0.05</v>
      </c>
      <c r="I152">
        <f t="shared" si="34"/>
        <v>2.8621204579392734E-3</v>
      </c>
      <c r="J152" s="2">
        <f t="shared" si="35"/>
        <v>1.2879542060726529E-5</v>
      </c>
      <c r="K152" t="str">
        <f t="shared" si="36"/>
        <v>&lt;=10</v>
      </c>
      <c r="L152" s="12">
        <f t="shared" si="37"/>
        <v>4.4999999999999997E-3</v>
      </c>
    </row>
    <row r="153" spans="1:12" hidden="1" x14ac:dyDescent="0.35">
      <c r="A153" t="s">
        <v>330</v>
      </c>
      <c r="B153" t="s">
        <v>331</v>
      </c>
      <c r="C153">
        <v>4.7939999999999997E-3</v>
      </c>
      <c r="D153" t="s">
        <v>185</v>
      </c>
      <c r="E153">
        <f t="shared" ca="1" si="30"/>
        <v>-2.5590321093710646E-2</v>
      </c>
      <c r="F153">
        <f t="shared" ca="1" si="31"/>
        <v>-1.3789536570962347E-2</v>
      </c>
      <c r="G153">
        <f t="shared" ca="1" si="32"/>
        <v>-1.9689928832336497E-2</v>
      </c>
      <c r="H153" t="str">
        <f t="shared" si="33"/>
        <v>0-0.05</v>
      </c>
      <c r="I153">
        <f t="shared" si="34"/>
        <v>4.7820448877805488E-3</v>
      </c>
      <c r="J153" s="2">
        <f t="shared" si="35"/>
        <v>1.1955112219450871E-5</v>
      </c>
      <c r="K153" t="str">
        <f t="shared" si="36"/>
        <v>&lt;=10</v>
      </c>
      <c r="L153" s="12">
        <f t="shared" si="37"/>
        <v>2.5000000000000001E-3</v>
      </c>
    </row>
    <row r="154" spans="1:12" hidden="1" x14ac:dyDescent="0.35">
      <c r="A154" t="s">
        <v>143</v>
      </c>
      <c r="B154" t="s">
        <v>144</v>
      </c>
      <c r="C154">
        <v>5.9470000000000002E-2</v>
      </c>
      <c r="D154" t="s">
        <v>145</v>
      </c>
      <c r="E154">
        <f t="shared" ca="1" si="30"/>
        <v>1.545991216697541E-2</v>
      </c>
      <c r="F154">
        <f t="shared" ca="1" si="31"/>
        <v>1.2930299222395747E-2</v>
      </c>
      <c r="G154">
        <f t="shared" ca="1" si="32"/>
        <v>1.4195105694685579E-2</v>
      </c>
      <c r="H154" t="str">
        <f t="shared" si="33"/>
        <v>0.05-0.5</v>
      </c>
      <c r="I154">
        <f t="shared" si="34"/>
        <v>5.945810837832434E-2</v>
      </c>
      <c r="J154" s="2">
        <f t="shared" si="35"/>
        <v>1.1891621675662323E-5</v>
      </c>
      <c r="K154" t="str">
        <f t="shared" si="36"/>
        <v>&lt;=10</v>
      </c>
      <c r="L154" s="12">
        <f t="shared" si="37"/>
        <v>2.0000000000000001E-4</v>
      </c>
    </row>
    <row r="155" spans="1:12" hidden="1" x14ac:dyDescent="0.35">
      <c r="A155" t="s">
        <v>258</v>
      </c>
      <c r="B155" t="s">
        <v>259</v>
      </c>
      <c r="C155">
        <v>5.3610999999999999E-2</v>
      </c>
      <c r="D155" t="s">
        <v>145</v>
      </c>
      <c r="E155">
        <f t="shared" ca="1" si="30"/>
        <v>-2.6574876830085414E-2</v>
      </c>
      <c r="F155">
        <f t="shared" ca="1" si="31"/>
        <v>-7.470468231853053E-2</v>
      </c>
      <c r="G155">
        <f t="shared" ca="1" si="32"/>
        <v>-5.0639779574307972E-2</v>
      </c>
      <c r="H155" t="str">
        <f t="shared" si="33"/>
        <v>0.05-0.5</v>
      </c>
      <c r="I155">
        <f t="shared" si="34"/>
        <v>5.3600279944011196E-2</v>
      </c>
      <c r="J155" s="2">
        <f t="shared" si="35"/>
        <v>1.0720055988802657E-5</v>
      </c>
      <c r="K155" t="str">
        <f t="shared" si="36"/>
        <v>&lt;=10</v>
      </c>
      <c r="L155" s="12">
        <f t="shared" si="37"/>
        <v>2.0000000000000001E-4</v>
      </c>
    </row>
    <row r="156" spans="1:12" hidden="1" x14ac:dyDescent="0.35">
      <c r="A156" t="s">
        <v>472</v>
      </c>
      <c r="B156" t="s">
        <v>472</v>
      </c>
      <c r="C156">
        <v>3.4099999999999998E-3</v>
      </c>
      <c r="D156" t="s">
        <v>179</v>
      </c>
      <c r="E156">
        <f t="shared" ca="1" si="30"/>
        <v>2.7702518442057462E-2</v>
      </c>
      <c r="F156">
        <f t="shared" ca="1" si="31"/>
        <v>4.5025438201261973E-2</v>
      </c>
      <c r="G156">
        <f t="shared" ca="1" si="32"/>
        <v>3.6363978321659718E-2</v>
      </c>
      <c r="H156" t="str">
        <f t="shared" si="33"/>
        <v>0-0.05</v>
      </c>
      <c r="I156">
        <f t="shared" si="34"/>
        <v>3.3994616688266368E-3</v>
      </c>
      <c r="J156" s="2">
        <f t="shared" si="35"/>
        <v>1.0538331173363079E-5</v>
      </c>
      <c r="K156" t="str">
        <f t="shared" si="36"/>
        <v>&lt;=10</v>
      </c>
      <c r="L156" s="12">
        <f t="shared" si="37"/>
        <v>3.0999999999999999E-3</v>
      </c>
    </row>
    <row r="157" spans="1:12" hidden="1" x14ac:dyDescent="0.35">
      <c r="A157" t="s">
        <v>503</v>
      </c>
      <c r="B157" t="s">
        <v>503</v>
      </c>
      <c r="C157">
        <v>1.2199999999999999E-3</v>
      </c>
      <c r="D157" t="s">
        <v>504</v>
      </c>
      <c r="E157">
        <f t="shared" ca="1" si="30"/>
        <v>-4.0912861358210748E-2</v>
      </c>
      <c r="F157">
        <f t="shared" ca="1" si="31"/>
        <v>3.6222612247707911E-2</v>
      </c>
      <c r="G157">
        <f t="shared" ca="1" si="32"/>
        <v>-2.3451245552514183E-3</v>
      </c>
      <c r="H157" t="str">
        <f t="shared" si="33"/>
        <v>0-0.05</v>
      </c>
      <c r="I157">
        <f t="shared" si="34"/>
        <v>1.2104375434070841E-3</v>
      </c>
      <c r="J157" s="2">
        <f t="shared" si="35"/>
        <v>9.5624565929158887E-6</v>
      </c>
      <c r="K157" t="str">
        <f t="shared" si="36"/>
        <v>&lt;=10</v>
      </c>
      <c r="L157" s="12">
        <f t="shared" si="37"/>
        <v>7.9000000000000008E-3</v>
      </c>
    </row>
    <row r="158" spans="1:12" hidden="1" x14ac:dyDescent="0.35">
      <c r="A158" t="s">
        <v>228</v>
      </c>
      <c r="B158" t="s">
        <v>229</v>
      </c>
      <c r="C158">
        <v>2.2439999999999999E-3</v>
      </c>
      <c r="D158" t="s">
        <v>230</v>
      </c>
      <c r="E158">
        <f t="shared" ca="1" si="30"/>
        <v>3.4433006898513918E-2</v>
      </c>
      <c r="F158">
        <f t="shared" ca="1" si="31"/>
        <v>-1.5664519159746388E-2</v>
      </c>
      <c r="G158">
        <f t="shared" ca="1" si="32"/>
        <v>9.3842438693837651E-3</v>
      </c>
      <c r="H158" t="str">
        <f t="shared" si="33"/>
        <v>0-0.05</v>
      </c>
      <c r="I158">
        <f t="shared" si="34"/>
        <v>2.2346146186018722E-3</v>
      </c>
      <c r="J158" s="2">
        <f t="shared" si="35"/>
        <v>9.3853813981276991E-6</v>
      </c>
      <c r="K158" t="str">
        <f t="shared" si="36"/>
        <v>&lt;=10</v>
      </c>
      <c r="L158" s="12">
        <f t="shared" si="37"/>
        <v>4.1999999999999997E-3</v>
      </c>
    </row>
    <row r="159" spans="1:12" hidden="1" x14ac:dyDescent="0.35">
      <c r="A159" t="s">
        <v>241</v>
      </c>
      <c r="B159" t="s">
        <v>242</v>
      </c>
      <c r="C159">
        <v>2.8809999999999999E-2</v>
      </c>
      <c r="D159" t="s">
        <v>23</v>
      </c>
      <c r="E159">
        <f t="shared" ca="1" si="30"/>
        <v>1.5080440617181589E-2</v>
      </c>
      <c r="F159">
        <f t="shared" ca="1" si="31"/>
        <v>-1.9116319769730192E-2</v>
      </c>
      <c r="G159">
        <f t="shared" ca="1" si="32"/>
        <v>-2.0179395762743016E-3</v>
      </c>
      <c r="H159" t="str">
        <f t="shared" si="33"/>
        <v>0-0.05</v>
      </c>
      <c r="I159">
        <f t="shared" si="34"/>
        <v>2.8801359592122364E-2</v>
      </c>
      <c r="J159" s="2">
        <f t="shared" si="35"/>
        <v>8.6404078776351756E-6</v>
      </c>
      <c r="K159" t="str">
        <f t="shared" si="36"/>
        <v>&lt;=10</v>
      </c>
      <c r="L159" s="12">
        <f t="shared" si="37"/>
        <v>2.9999999999999997E-4</v>
      </c>
    </row>
    <row r="160" spans="1:12" hidden="1" x14ac:dyDescent="0.35">
      <c r="A160" t="s">
        <v>415</v>
      </c>
      <c r="B160" t="s">
        <v>416</v>
      </c>
      <c r="C160">
        <v>6.9080000000000001E-3</v>
      </c>
      <c r="D160" t="s">
        <v>308</v>
      </c>
      <c r="E160">
        <f t="shared" ca="1" si="30"/>
        <v>-1.750090295868615E-2</v>
      </c>
      <c r="F160">
        <f t="shared" ca="1" si="31"/>
        <v>6.6706657559890165E-2</v>
      </c>
      <c r="G160">
        <f t="shared" ca="1" si="32"/>
        <v>2.4602877300602007E-2</v>
      </c>
      <c r="H160" t="str">
        <f t="shared" si="33"/>
        <v>0-0.05</v>
      </c>
      <c r="I160">
        <f t="shared" si="34"/>
        <v>6.8997203355972824E-3</v>
      </c>
      <c r="J160" s="2">
        <f t="shared" si="35"/>
        <v>8.2796644027176639E-6</v>
      </c>
      <c r="K160" t="str">
        <f t="shared" si="36"/>
        <v>&lt;=10</v>
      </c>
      <c r="L160" s="12">
        <f t="shared" si="37"/>
        <v>1.1999999999999999E-3</v>
      </c>
    </row>
    <row r="161" spans="1:12" hidden="1" x14ac:dyDescent="0.35">
      <c r="A161" t="s">
        <v>485</v>
      </c>
      <c r="B161" t="s">
        <v>486</v>
      </c>
      <c r="C161">
        <v>4.0850000000000001E-3</v>
      </c>
      <c r="D161" t="s">
        <v>361</v>
      </c>
      <c r="E161">
        <f t="shared" ca="1" si="30"/>
        <v>-7.5559255717982405E-3</v>
      </c>
      <c r="F161">
        <f t="shared" ca="1" si="31"/>
        <v>4.0331521834076511E-2</v>
      </c>
      <c r="G161">
        <f t="shared" ca="1" si="32"/>
        <v>1.6387798131139136E-2</v>
      </c>
      <c r="H161" t="str">
        <f t="shared" si="33"/>
        <v>0-0.05</v>
      </c>
      <c r="I161">
        <f t="shared" si="34"/>
        <v>4.0768463073852295E-3</v>
      </c>
      <c r="J161" s="2">
        <f t="shared" si="35"/>
        <v>8.153692614770551E-6</v>
      </c>
      <c r="K161" t="str">
        <f t="shared" si="36"/>
        <v>&lt;=10</v>
      </c>
      <c r="L161" s="12">
        <f t="shared" si="37"/>
        <v>2E-3</v>
      </c>
    </row>
    <row r="162" spans="1:12" hidden="1" x14ac:dyDescent="0.35">
      <c r="A162" t="s">
        <v>356</v>
      </c>
      <c r="B162" t="s">
        <v>357</v>
      </c>
      <c r="C162">
        <v>2.2859999999999998E-3</v>
      </c>
      <c r="D162" t="s">
        <v>358</v>
      </c>
      <c r="E162">
        <f t="shared" ref="E162:E193" ca="1" si="38">D162 + (RAND()-0.5)/10</f>
        <v>-1.2430338589595604E-2</v>
      </c>
      <c r="F162">
        <f t="shared" ref="F162:F193" ca="1" si="39">D162 + (RAND()-0.5)/5</f>
        <v>-5.9875094284327926E-2</v>
      </c>
      <c r="G162">
        <f t="shared" ref="G162:G193" ca="1" si="40">AVERAGE(D162,E162,F162)</f>
        <v>-3.6152716436961767E-2</v>
      </c>
      <c r="H162" t="str">
        <f t="shared" ref="H162:H193" si="41">IF(C162&lt;=0.05,"0-0.05",
IF(C162&lt;=0.5,"0.05-0.5",
IF(C162&lt;=5,"0.5-5",
IF(C162&lt;=50,"5-50","&gt;50"))))</f>
        <v>0-0.05</v>
      </c>
      <c r="I162">
        <f t="shared" ref="I162:I193" si="42">C162/(1+D162)</f>
        <v>2.2780269058295961E-3</v>
      </c>
      <c r="J162" s="2">
        <f t="shared" ref="J162:J193" si="43">C162-I162</f>
        <v>7.9730941704037744E-6</v>
      </c>
      <c r="K162" t="str">
        <f t="shared" ref="K162:K193" si="44">IF(C162&lt;=10,"&lt;=10","&gt;=10")</f>
        <v>&lt;=10</v>
      </c>
      <c r="L162" s="12">
        <f t="shared" si="37"/>
        <v>3.5000000000000001E-3</v>
      </c>
    </row>
    <row r="163" spans="1:12" hidden="1" x14ac:dyDescent="0.35">
      <c r="A163" t="s">
        <v>473</v>
      </c>
      <c r="B163" t="s">
        <v>474</v>
      </c>
      <c r="C163">
        <v>7.5139999999999998E-2</v>
      </c>
      <c r="D163" t="s">
        <v>62</v>
      </c>
      <c r="E163">
        <f t="shared" ca="1" si="38"/>
        <v>-2.8880376119411324E-2</v>
      </c>
      <c r="F163">
        <f t="shared" ca="1" si="39"/>
        <v>-3.4881715605679597E-2</v>
      </c>
      <c r="G163">
        <f t="shared" ca="1" si="40"/>
        <v>-3.1881045862545462E-2</v>
      </c>
      <c r="H163" t="str">
        <f t="shared" si="41"/>
        <v>0.05-0.5</v>
      </c>
      <c r="I163">
        <f t="shared" si="42"/>
        <v>7.5132486751324862E-2</v>
      </c>
      <c r="J163" s="2">
        <f t="shared" si="43"/>
        <v>7.5132486751366967E-6</v>
      </c>
      <c r="K163" t="str">
        <f t="shared" si="44"/>
        <v>&lt;=10</v>
      </c>
      <c r="L163" s="12">
        <f t="shared" si="37"/>
        <v>1E-4</v>
      </c>
    </row>
    <row r="164" spans="1:12" hidden="1" x14ac:dyDescent="0.35">
      <c r="A164" t="s">
        <v>408</v>
      </c>
      <c r="B164" t="s">
        <v>409</v>
      </c>
      <c r="C164">
        <v>7.7060000000000002E-3</v>
      </c>
      <c r="D164" t="s">
        <v>410</v>
      </c>
      <c r="E164">
        <f t="shared" ca="1" si="38"/>
        <v>-2.7503032819983817E-2</v>
      </c>
      <c r="F164">
        <f t="shared" ca="1" si="39"/>
        <v>3.2280016335730154E-2</v>
      </c>
      <c r="G164">
        <f t="shared" ca="1" si="40"/>
        <v>2.3884917578731683E-3</v>
      </c>
      <c r="H164" t="str">
        <f t="shared" si="41"/>
        <v>0-0.05</v>
      </c>
      <c r="I164">
        <f t="shared" si="42"/>
        <v>7.6990708362473783E-3</v>
      </c>
      <c r="J164" s="2">
        <f t="shared" si="43"/>
        <v>6.9291637526218419E-6</v>
      </c>
      <c r="K164" t="str">
        <f t="shared" si="44"/>
        <v>&lt;=10</v>
      </c>
      <c r="L164" s="12">
        <f t="shared" si="37"/>
        <v>8.9999999999999998E-4</v>
      </c>
    </row>
    <row r="165" spans="1:12" hidden="1" x14ac:dyDescent="0.35">
      <c r="A165" t="s">
        <v>186</v>
      </c>
      <c r="B165" t="s">
        <v>187</v>
      </c>
      <c r="C165">
        <v>1.4970000000000001E-2</v>
      </c>
      <c r="D165" t="s">
        <v>14</v>
      </c>
      <c r="E165">
        <f t="shared" ca="1" si="38"/>
        <v>-2.8882898843138414E-2</v>
      </c>
      <c r="F165">
        <f t="shared" ca="1" si="39"/>
        <v>-7.6688892765443842E-2</v>
      </c>
      <c r="G165">
        <f t="shared" ca="1" si="40"/>
        <v>-5.2785895804291126E-2</v>
      </c>
      <c r="H165" t="str">
        <f t="shared" si="41"/>
        <v>0-0.05</v>
      </c>
      <c r="I165">
        <f t="shared" si="42"/>
        <v>1.4964014394242305E-2</v>
      </c>
      <c r="J165" s="2">
        <f t="shared" si="43"/>
        <v>5.9856057576957583E-6</v>
      </c>
      <c r="K165" t="str">
        <f t="shared" si="44"/>
        <v>&lt;=10</v>
      </c>
      <c r="L165" s="12">
        <f t="shared" si="37"/>
        <v>4.0000000000000002E-4</v>
      </c>
    </row>
    <row r="166" spans="1:12" hidden="1" x14ac:dyDescent="0.35">
      <c r="A166" t="s">
        <v>289</v>
      </c>
      <c r="B166" t="s">
        <v>290</v>
      </c>
      <c r="C166">
        <v>1.193E-2</v>
      </c>
      <c r="D166" t="s">
        <v>190</v>
      </c>
      <c r="E166">
        <f t="shared" ca="1" si="38"/>
        <v>-3.1720323468724852E-2</v>
      </c>
      <c r="F166">
        <f t="shared" ca="1" si="39"/>
        <v>8.2383157576302116E-2</v>
      </c>
      <c r="G166">
        <f t="shared" ca="1" si="40"/>
        <v>2.5331417053788632E-2</v>
      </c>
      <c r="H166" t="str">
        <f t="shared" si="41"/>
        <v>0-0.05</v>
      </c>
      <c r="I166">
        <f t="shared" si="42"/>
        <v>1.1924037981009496E-2</v>
      </c>
      <c r="J166" s="2">
        <f t="shared" si="43"/>
        <v>5.9620189905035953E-6</v>
      </c>
      <c r="K166" t="str">
        <f t="shared" si="44"/>
        <v>&lt;=10</v>
      </c>
      <c r="L166" s="12">
        <f t="shared" si="37"/>
        <v>5.0000000000000001E-4</v>
      </c>
    </row>
    <row r="167" spans="1:12" hidden="1" x14ac:dyDescent="0.35">
      <c r="A167" t="s">
        <v>379</v>
      </c>
      <c r="B167" t="s">
        <v>380</v>
      </c>
      <c r="C167">
        <v>1.9529999999999999E-2</v>
      </c>
      <c r="D167" t="s">
        <v>23</v>
      </c>
      <c r="E167">
        <f t="shared" ca="1" si="38"/>
        <v>-6.6524338573303206E-3</v>
      </c>
      <c r="F167">
        <f t="shared" ca="1" si="39"/>
        <v>-4.2879871371217411E-2</v>
      </c>
      <c r="G167">
        <f t="shared" ca="1" si="40"/>
        <v>-2.4766152614273867E-2</v>
      </c>
      <c r="H167" t="str">
        <f t="shared" si="41"/>
        <v>0-0.05</v>
      </c>
      <c r="I167">
        <f t="shared" si="42"/>
        <v>1.9524142757172847E-2</v>
      </c>
      <c r="J167" s="2">
        <f t="shared" si="43"/>
        <v>5.8572428271522203E-6</v>
      </c>
      <c r="K167" t="str">
        <f t="shared" si="44"/>
        <v>&lt;=10</v>
      </c>
      <c r="L167" s="12">
        <f t="shared" si="37"/>
        <v>2.9999999999999997E-4</v>
      </c>
    </row>
    <row r="168" spans="1:12" hidden="1" x14ac:dyDescent="0.35">
      <c r="A168" t="s">
        <v>86</v>
      </c>
      <c r="B168" t="s">
        <v>87</v>
      </c>
      <c r="C168">
        <v>7.3550000000000004E-4</v>
      </c>
      <c r="D168" t="s">
        <v>47</v>
      </c>
      <c r="E168">
        <f t="shared" ca="1" si="38"/>
        <v>4.8941156762722697E-2</v>
      </c>
      <c r="F168">
        <f t="shared" ca="1" si="39"/>
        <v>6.0986070229451989E-2</v>
      </c>
      <c r="G168">
        <f t="shared" ca="1" si="40"/>
        <v>5.4963613496087346E-2</v>
      </c>
      <c r="H168" t="str">
        <f t="shared" si="41"/>
        <v>0-0.05</v>
      </c>
      <c r="I168">
        <f t="shared" si="42"/>
        <v>7.3067752831313336E-4</v>
      </c>
      <c r="J168" s="2">
        <f t="shared" si="43"/>
        <v>4.8224716868666782E-6</v>
      </c>
      <c r="K168" t="str">
        <f t="shared" si="44"/>
        <v>&lt;=10</v>
      </c>
      <c r="L168" s="12">
        <f t="shared" si="37"/>
        <v>6.6E-3</v>
      </c>
    </row>
    <row r="169" spans="1:12" hidden="1" x14ac:dyDescent="0.35">
      <c r="A169" t="s">
        <v>448</v>
      </c>
      <c r="B169" t="s">
        <v>449</v>
      </c>
      <c r="C169">
        <v>4.5649999999999996E-3</v>
      </c>
      <c r="D169" t="s">
        <v>18</v>
      </c>
      <c r="E169">
        <f t="shared" ca="1" si="38"/>
        <v>-2.5818048591528798E-2</v>
      </c>
      <c r="F169">
        <f t="shared" ca="1" si="39"/>
        <v>7.7620074522627688E-2</v>
      </c>
      <c r="G169">
        <f t="shared" ca="1" si="40"/>
        <v>2.5901012965549447E-2</v>
      </c>
      <c r="H169" t="str">
        <f t="shared" si="41"/>
        <v>0-0.05</v>
      </c>
      <c r="I169">
        <f t="shared" si="42"/>
        <v>4.5604395604395605E-3</v>
      </c>
      <c r="J169" s="2">
        <f t="shared" si="43"/>
        <v>4.5604395604390696E-6</v>
      </c>
      <c r="K169" t="str">
        <f t="shared" si="44"/>
        <v>&lt;=10</v>
      </c>
      <c r="L169" s="12">
        <f t="shared" si="37"/>
        <v>1E-3</v>
      </c>
    </row>
    <row r="170" spans="1:12" hidden="1" x14ac:dyDescent="0.35">
      <c r="A170" t="s">
        <v>420</v>
      </c>
      <c r="B170" t="s">
        <v>421</v>
      </c>
      <c r="C170">
        <v>4.2319999999999999E-4</v>
      </c>
      <c r="D170" t="s">
        <v>422</v>
      </c>
      <c r="E170">
        <f t="shared" ca="1" si="38"/>
        <v>5.2397596851750244E-2</v>
      </c>
      <c r="F170">
        <f t="shared" ca="1" si="39"/>
        <v>-4.4649816547563028E-3</v>
      </c>
      <c r="G170">
        <f t="shared" ca="1" si="40"/>
        <v>2.396630759849697E-2</v>
      </c>
      <c r="H170" t="str">
        <f t="shared" si="41"/>
        <v>0-0.05</v>
      </c>
      <c r="I170">
        <f t="shared" si="42"/>
        <v>4.1913439635535304E-4</v>
      </c>
      <c r="J170" s="2">
        <f t="shared" si="43"/>
        <v>4.0656036446469457E-6</v>
      </c>
      <c r="K170" t="str">
        <f t="shared" si="44"/>
        <v>&lt;=10</v>
      </c>
      <c r="L170" s="12">
        <f t="shared" si="37"/>
        <v>9.7000000000000003E-3</v>
      </c>
    </row>
    <row r="171" spans="1:12" hidden="1" x14ac:dyDescent="0.35">
      <c r="A171" t="s">
        <v>470</v>
      </c>
      <c r="B171" t="s">
        <v>471</v>
      </c>
      <c r="C171">
        <v>5.9199999999999997E-4</v>
      </c>
      <c r="D171" t="s">
        <v>393</v>
      </c>
      <c r="E171">
        <f t="shared" ca="1" si="38"/>
        <v>2.2007485433668305E-3</v>
      </c>
      <c r="F171">
        <f t="shared" ca="1" si="39"/>
        <v>-6.5605039200087312E-2</v>
      </c>
      <c r="G171">
        <f t="shared" ca="1" si="40"/>
        <v>-3.1702145328360243E-2</v>
      </c>
      <c r="H171" t="str">
        <f t="shared" si="41"/>
        <v>0-0.05</v>
      </c>
      <c r="I171">
        <f t="shared" si="42"/>
        <v>5.8800158919348436E-4</v>
      </c>
      <c r="J171" s="2">
        <f t="shared" si="43"/>
        <v>3.9984108065156069E-6</v>
      </c>
      <c r="K171" t="str">
        <f t="shared" si="44"/>
        <v>&lt;=10</v>
      </c>
      <c r="L171" s="12">
        <f t="shared" si="37"/>
        <v>6.7999999999999996E-3</v>
      </c>
    </row>
    <row r="172" spans="1:12" hidden="1" x14ac:dyDescent="0.35">
      <c r="A172" t="s">
        <v>239</v>
      </c>
      <c r="B172" t="s">
        <v>240</v>
      </c>
      <c r="C172">
        <v>3.288E-2</v>
      </c>
      <c r="D172" t="s">
        <v>62</v>
      </c>
      <c r="E172">
        <f t="shared" ca="1" si="38"/>
        <v>-4.4149960462037448E-3</v>
      </c>
      <c r="F172">
        <f t="shared" ca="1" si="39"/>
        <v>7.9955917044501931E-2</v>
      </c>
      <c r="G172">
        <f t="shared" ca="1" si="40"/>
        <v>3.7770460499149096E-2</v>
      </c>
      <c r="H172" t="str">
        <f t="shared" si="41"/>
        <v>0-0.05</v>
      </c>
      <c r="I172">
        <f t="shared" si="42"/>
        <v>3.287671232876712E-2</v>
      </c>
      <c r="J172" s="2">
        <f t="shared" si="43"/>
        <v>3.28767123287943E-6</v>
      </c>
      <c r="K172" t="str">
        <f t="shared" si="44"/>
        <v>&lt;=10</v>
      </c>
      <c r="L172" s="12">
        <f t="shared" si="37"/>
        <v>1E-4</v>
      </c>
    </row>
    <row r="173" spans="1:12" hidden="1" x14ac:dyDescent="0.35">
      <c r="A173" t="s">
        <v>482</v>
      </c>
      <c r="B173" t="s">
        <v>483</v>
      </c>
      <c r="C173">
        <v>1.565E-3</v>
      </c>
      <c r="D173" t="s">
        <v>361</v>
      </c>
      <c r="E173">
        <f t="shared" ca="1" si="38"/>
        <v>2.187366265542242E-2</v>
      </c>
      <c r="F173">
        <f t="shared" ca="1" si="39"/>
        <v>6.5236096470663821E-2</v>
      </c>
      <c r="G173">
        <f t="shared" ca="1" si="40"/>
        <v>4.3554879563043117E-2</v>
      </c>
      <c r="H173" t="str">
        <f t="shared" si="41"/>
        <v>0-0.05</v>
      </c>
      <c r="I173">
        <f t="shared" si="42"/>
        <v>1.56187624750499E-3</v>
      </c>
      <c r="J173" s="2">
        <f t="shared" si="43"/>
        <v>3.123752495009938E-6</v>
      </c>
      <c r="K173" t="str">
        <f t="shared" si="44"/>
        <v>&lt;=10</v>
      </c>
      <c r="L173" s="12">
        <f t="shared" si="37"/>
        <v>2E-3</v>
      </c>
    </row>
    <row r="174" spans="1:12" hidden="1" x14ac:dyDescent="0.35">
      <c r="A174" t="s">
        <v>183</v>
      </c>
      <c r="B174" t="s">
        <v>184</v>
      </c>
      <c r="C174">
        <v>1.245E-3</v>
      </c>
      <c r="D174" t="s">
        <v>185</v>
      </c>
      <c r="E174">
        <f t="shared" ca="1" si="38"/>
        <v>3.8401818794517296E-2</v>
      </c>
      <c r="F174">
        <f t="shared" ca="1" si="39"/>
        <v>9.7216594645232385E-2</v>
      </c>
      <c r="G174">
        <f t="shared" ca="1" si="40"/>
        <v>6.7809206719874837E-2</v>
      </c>
      <c r="H174" t="str">
        <f t="shared" si="41"/>
        <v>0-0.05</v>
      </c>
      <c r="I174">
        <f t="shared" si="42"/>
        <v>1.2418952618453865E-3</v>
      </c>
      <c r="J174" s="2">
        <f t="shared" si="43"/>
        <v>3.1047381546134723E-6</v>
      </c>
      <c r="K174" t="str">
        <f t="shared" si="44"/>
        <v>&lt;=10</v>
      </c>
      <c r="L174" s="12">
        <f t="shared" si="37"/>
        <v>2.5000000000000001E-3</v>
      </c>
    </row>
    <row r="175" spans="1:12" hidden="1" x14ac:dyDescent="0.35">
      <c r="A175" t="s">
        <v>406</v>
      </c>
      <c r="B175" t="s">
        <v>407</v>
      </c>
      <c r="C175">
        <v>1.286E-2</v>
      </c>
      <c r="D175" t="s">
        <v>145</v>
      </c>
      <c r="E175">
        <f t="shared" ca="1" si="38"/>
        <v>3.8089768874689275E-2</v>
      </c>
      <c r="F175">
        <f t="shared" ca="1" si="39"/>
        <v>-2.5737789694785865E-2</v>
      </c>
      <c r="G175">
        <f t="shared" ca="1" si="40"/>
        <v>6.1759895899517053E-3</v>
      </c>
      <c r="H175" t="str">
        <f t="shared" si="41"/>
        <v>0-0.05</v>
      </c>
      <c r="I175">
        <f t="shared" si="42"/>
        <v>1.285742851429714E-2</v>
      </c>
      <c r="J175" s="2">
        <f t="shared" si="43"/>
        <v>2.5714857028596994E-6</v>
      </c>
      <c r="K175" t="str">
        <f t="shared" si="44"/>
        <v>&lt;=10</v>
      </c>
      <c r="L175" s="12">
        <f t="shared" si="37"/>
        <v>2.0000000000000001E-4</v>
      </c>
    </row>
    <row r="176" spans="1:12" hidden="1" x14ac:dyDescent="0.35">
      <c r="A176" t="s">
        <v>425</v>
      </c>
      <c r="B176" t="s">
        <v>425</v>
      </c>
      <c r="C176">
        <v>2.2959999999999999E-3</v>
      </c>
      <c r="D176" t="s">
        <v>18</v>
      </c>
      <c r="E176">
        <f t="shared" ca="1" si="38"/>
        <v>4.7226985613476324E-2</v>
      </c>
      <c r="F176">
        <f t="shared" ca="1" si="39"/>
        <v>5.4670735789695724E-2</v>
      </c>
      <c r="G176">
        <f t="shared" ca="1" si="40"/>
        <v>5.0948860701586024E-2</v>
      </c>
      <c r="H176" t="str">
        <f t="shared" si="41"/>
        <v>0-0.05</v>
      </c>
      <c r="I176">
        <f t="shared" si="42"/>
        <v>2.2937062937062936E-3</v>
      </c>
      <c r="J176" s="2">
        <f t="shared" si="43"/>
        <v>2.2937062937062463E-6</v>
      </c>
      <c r="K176" t="str">
        <f t="shared" si="44"/>
        <v>&lt;=10</v>
      </c>
      <c r="L176" s="12">
        <f t="shared" si="37"/>
        <v>1E-3</v>
      </c>
    </row>
    <row r="177" spans="1:12" hidden="1" x14ac:dyDescent="0.35">
      <c r="A177" t="s">
        <v>306</v>
      </c>
      <c r="B177" t="s">
        <v>307</v>
      </c>
      <c r="C177">
        <v>1.8810000000000001E-3</v>
      </c>
      <c r="D177" t="s">
        <v>308</v>
      </c>
      <c r="E177">
        <f t="shared" ca="1" si="38"/>
        <v>-1.8551936987677632E-2</v>
      </c>
      <c r="F177">
        <f t="shared" ca="1" si="39"/>
        <v>2.4712788590293709E-2</v>
      </c>
      <c r="G177">
        <f t="shared" ca="1" si="40"/>
        <v>3.0804258013080385E-3</v>
      </c>
      <c r="H177" t="str">
        <f t="shared" si="41"/>
        <v>0-0.05</v>
      </c>
      <c r="I177">
        <f t="shared" si="42"/>
        <v>1.8787455053935276E-3</v>
      </c>
      <c r="J177" s="2">
        <f t="shared" si="43"/>
        <v>2.25449460647246E-6</v>
      </c>
      <c r="K177" t="str">
        <f t="shared" si="44"/>
        <v>&lt;=10</v>
      </c>
      <c r="L177" s="12">
        <f t="shared" si="37"/>
        <v>1.1999999999999999E-3</v>
      </c>
    </row>
    <row r="178" spans="1:12" hidden="1" x14ac:dyDescent="0.35">
      <c r="A178" t="s">
        <v>487</v>
      </c>
      <c r="B178" t="s">
        <v>488</v>
      </c>
      <c r="C178">
        <v>4.9459999999999999E-4</v>
      </c>
      <c r="D178" t="s">
        <v>489</v>
      </c>
      <c r="E178">
        <f t="shared" ca="1" si="38"/>
        <v>1.3509007567364823E-2</v>
      </c>
      <c r="F178">
        <f t="shared" ca="1" si="39"/>
        <v>-6.7012604075579602E-2</v>
      </c>
      <c r="G178">
        <f t="shared" ca="1" si="40"/>
        <v>-2.6751798254107388E-2</v>
      </c>
      <c r="H178" t="str">
        <f t="shared" si="41"/>
        <v>0-0.05</v>
      </c>
      <c r="I178">
        <f t="shared" si="42"/>
        <v>4.9248232599820774E-4</v>
      </c>
      <c r="J178" s="2">
        <f t="shared" si="43"/>
        <v>2.1176740017922512E-6</v>
      </c>
      <c r="K178" t="str">
        <f t="shared" si="44"/>
        <v>&lt;=10</v>
      </c>
      <c r="L178" s="12">
        <f t="shared" si="37"/>
        <v>4.3E-3</v>
      </c>
    </row>
    <row r="179" spans="1:12" hidden="1" x14ac:dyDescent="0.35">
      <c r="A179" t="s">
        <v>359</v>
      </c>
      <c r="B179" t="s">
        <v>360</v>
      </c>
      <c r="C179">
        <v>1.011E-3</v>
      </c>
      <c r="D179" t="s">
        <v>361</v>
      </c>
      <c r="E179">
        <f t="shared" ca="1" si="38"/>
        <v>4.644345842330326E-2</v>
      </c>
      <c r="F179">
        <f t="shared" ca="1" si="39"/>
        <v>3.5134366023289898E-2</v>
      </c>
      <c r="G179">
        <f t="shared" ca="1" si="40"/>
        <v>4.0788912223296579E-2</v>
      </c>
      <c r="H179" t="str">
        <f t="shared" si="41"/>
        <v>0-0.05</v>
      </c>
      <c r="I179">
        <f t="shared" si="42"/>
        <v>1.0089820359281438E-3</v>
      </c>
      <c r="J179" s="2">
        <f t="shared" si="43"/>
        <v>2.0179640718561917E-6</v>
      </c>
      <c r="K179" t="str">
        <f t="shared" si="44"/>
        <v>&lt;=10</v>
      </c>
      <c r="L179" s="12">
        <f t="shared" si="37"/>
        <v>2E-3</v>
      </c>
    </row>
    <row r="180" spans="1:12" hidden="1" x14ac:dyDescent="0.35">
      <c r="A180" t="s">
        <v>394</v>
      </c>
      <c r="B180" t="s">
        <v>395</v>
      </c>
      <c r="C180">
        <v>8.4449999999999994E-3</v>
      </c>
      <c r="D180" t="s">
        <v>145</v>
      </c>
      <c r="E180">
        <f t="shared" ca="1" si="38"/>
        <v>-4.1761086080007274E-2</v>
      </c>
      <c r="F180">
        <f t="shared" ca="1" si="39"/>
        <v>-3.4143439548323995E-2</v>
      </c>
      <c r="G180">
        <f t="shared" ca="1" si="40"/>
        <v>-3.7952262814165638E-2</v>
      </c>
      <c r="H180" t="str">
        <f t="shared" si="41"/>
        <v>0-0.05</v>
      </c>
      <c r="I180">
        <f t="shared" si="42"/>
        <v>8.4433113377324533E-3</v>
      </c>
      <c r="J180" s="2">
        <f t="shared" si="43"/>
        <v>1.6886622675460483E-6</v>
      </c>
      <c r="K180" t="str">
        <f t="shared" si="44"/>
        <v>&lt;=10</v>
      </c>
      <c r="L180" s="12">
        <f t="shared" si="37"/>
        <v>2.0000000000000001E-4</v>
      </c>
    </row>
    <row r="181" spans="1:12" hidden="1" x14ac:dyDescent="0.35">
      <c r="A181" t="s">
        <v>490</v>
      </c>
      <c r="B181" t="s">
        <v>491</v>
      </c>
      <c r="C181">
        <v>6.265E-4</v>
      </c>
      <c r="D181" t="s">
        <v>492</v>
      </c>
      <c r="E181">
        <f t="shared" ca="1" si="38"/>
        <v>1.5010760492009166E-2</v>
      </c>
      <c r="F181">
        <f t="shared" ca="1" si="39"/>
        <v>-7.3700457521690757E-2</v>
      </c>
      <c r="G181">
        <f t="shared" ca="1" si="40"/>
        <v>-2.9344848514840795E-2</v>
      </c>
      <c r="H181" t="str">
        <f t="shared" si="41"/>
        <v>0-0.05</v>
      </c>
      <c r="I181">
        <f t="shared" si="42"/>
        <v>6.2531190737598558E-4</v>
      </c>
      <c r="J181" s="2">
        <f t="shared" si="43"/>
        <v>1.1880926240144182E-6</v>
      </c>
      <c r="K181" t="str">
        <f t="shared" si="44"/>
        <v>&lt;=10</v>
      </c>
      <c r="L181" s="12">
        <f t="shared" si="37"/>
        <v>1.9E-3</v>
      </c>
    </row>
    <row r="182" spans="1:12" hidden="1" x14ac:dyDescent="0.35">
      <c r="A182" t="s">
        <v>484</v>
      </c>
      <c r="B182" t="s">
        <v>484</v>
      </c>
      <c r="C182">
        <v>4.2460000000000002E-4</v>
      </c>
      <c r="D182" t="s">
        <v>301</v>
      </c>
      <c r="E182">
        <f t="shared" ca="1" si="38"/>
        <v>-1.6444866780613167E-2</v>
      </c>
      <c r="F182">
        <f t="shared" ca="1" si="39"/>
        <v>6.6773463683561407E-2</v>
      </c>
      <c r="G182">
        <f t="shared" ca="1" si="40"/>
        <v>2.516429845147412E-2</v>
      </c>
      <c r="H182" t="str">
        <f t="shared" si="41"/>
        <v>0-0.05</v>
      </c>
      <c r="I182">
        <f t="shared" si="42"/>
        <v>4.2392172523961663E-4</v>
      </c>
      <c r="J182" s="2">
        <f t="shared" si="43"/>
        <v>6.7827476038338644E-7</v>
      </c>
      <c r="K182" t="str">
        <f t="shared" si="44"/>
        <v>&lt;=10</v>
      </c>
      <c r="L182" s="12">
        <f t="shared" si="37"/>
        <v>1.6000000000000001E-3</v>
      </c>
    </row>
    <row r="183" spans="1:12" hidden="1" x14ac:dyDescent="0.35">
      <c r="A183" t="s">
        <v>453</v>
      </c>
      <c r="B183" t="s">
        <v>454</v>
      </c>
      <c r="C183">
        <v>1.5070000000000001E-3</v>
      </c>
      <c r="D183" t="s">
        <v>23</v>
      </c>
      <c r="E183">
        <f t="shared" ca="1" si="38"/>
        <v>2.681440213584968E-2</v>
      </c>
      <c r="F183">
        <f t="shared" ca="1" si="39"/>
        <v>6.2530249572562716E-2</v>
      </c>
      <c r="G183">
        <f t="shared" ca="1" si="40"/>
        <v>4.4672325854206198E-2</v>
      </c>
      <c r="H183" t="str">
        <f t="shared" si="41"/>
        <v>0-0.05</v>
      </c>
      <c r="I183">
        <f t="shared" si="42"/>
        <v>1.5065480355893233E-3</v>
      </c>
      <c r="J183" s="2">
        <f t="shared" si="43"/>
        <v>4.5196441067680594E-7</v>
      </c>
      <c r="K183" t="str">
        <f t="shared" si="44"/>
        <v>&lt;=10</v>
      </c>
      <c r="L183" s="12">
        <f t="shared" si="37"/>
        <v>2.9999999999999997E-4</v>
      </c>
    </row>
    <row r="184" spans="1:12" hidden="1" x14ac:dyDescent="0.35">
      <c r="A184" t="s">
        <v>302</v>
      </c>
      <c r="B184" t="s">
        <v>303</v>
      </c>
      <c r="C184">
        <v>1.392E-4</v>
      </c>
      <c r="D184" t="s">
        <v>185</v>
      </c>
      <c r="E184">
        <f t="shared" ca="1" si="38"/>
        <v>-2.7875543815132124E-2</v>
      </c>
      <c r="F184">
        <f t="shared" ca="1" si="39"/>
        <v>-3.1684418217217361E-2</v>
      </c>
      <c r="G184">
        <f t="shared" ca="1" si="40"/>
        <v>-2.9779981016174743E-2</v>
      </c>
      <c r="H184" t="str">
        <f t="shared" si="41"/>
        <v>0-0.05</v>
      </c>
      <c r="I184">
        <f t="shared" si="42"/>
        <v>1.3885286783042394E-4</v>
      </c>
      <c r="J184" s="2">
        <f t="shared" si="43"/>
        <v>3.4713216957605328E-7</v>
      </c>
      <c r="K184" t="str">
        <f t="shared" si="44"/>
        <v>&lt;=10</v>
      </c>
      <c r="L184" s="12">
        <f t="shared" si="37"/>
        <v>2.5000000000000001E-3</v>
      </c>
    </row>
    <row r="185" spans="1:12" hidden="1" x14ac:dyDescent="0.35">
      <c r="A185" t="s">
        <v>372</v>
      </c>
      <c r="B185" t="s">
        <v>373</v>
      </c>
      <c r="C185">
        <v>2.2479999999999999E-4</v>
      </c>
      <c r="D185" t="s">
        <v>203</v>
      </c>
      <c r="E185">
        <f t="shared" ca="1" si="38"/>
        <v>4.9469346757407429E-3</v>
      </c>
      <c r="F185">
        <f t="shared" ca="1" si="39"/>
        <v>-6.5590458690775372E-2</v>
      </c>
      <c r="G185">
        <f t="shared" ca="1" si="40"/>
        <v>-3.0321762007517315E-2</v>
      </c>
      <c r="H185" t="str">
        <f t="shared" si="41"/>
        <v>0-0.05</v>
      </c>
      <c r="I185">
        <f t="shared" si="42"/>
        <v>2.2446330504243632E-4</v>
      </c>
      <c r="J185" s="2">
        <f t="shared" si="43"/>
        <v>3.3669495756366899E-7</v>
      </c>
      <c r="K185" t="str">
        <f t="shared" si="44"/>
        <v>&lt;=10</v>
      </c>
      <c r="L185" s="12">
        <f t="shared" si="37"/>
        <v>1.5E-3</v>
      </c>
    </row>
    <row r="186" spans="1:12" hidden="1" x14ac:dyDescent="0.35">
      <c r="A186" t="s">
        <v>164</v>
      </c>
      <c r="B186" t="s">
        <v>165</v>
      </c>
      <c r="C186">
        <v>5.1249999999999999E-5</v>
      </c>
      <c r="D186" t="s">
        <v>166</v>
      </c>
      <c r="E186">
        <f t="shared" ca="1" si="38"/>
        <v>7.2786312001465745E-3</v>
      </c>
      <c r="F186">
        <f t="shared" ca="1" si="39"/>
        <v>-1.7018530176245456E-2</v>
      </c>
      <c r="G186">
        <f t="shared" ca="1" si="40"/>
        <v>-4.8699494880494413E-3</v>
      </c>
      <c r="H186" t="str">
        <f t="shared" si="41"/>
        <v>0-0.05</v>
      </c>
      <c r="I186">
        <f t="shared" si="42"/>
        <v>5.0959530675151633E-5</v>
      </c>
      <c r="J186" s="2">
        <f t="shared" si="43"/>
        <v>2.9046932484836545E-7</v>
      </c>
      <c r="K186" t="str">
        <f t="shared" si="44"/>
        <v>&lt;=10</v>
      </c>
      <c r="L186" s="12">
        <f t="shared" si="37"/>
        <v>5.7000000000000002E-3</v>
      </c>
    </row>
    <row r="187" spans="1:12" hidden="1" x14ac:dyDescent="0.35">
      <c r="A187" t="s">
        <v>234</v>
      </c>
      <c r="B187" t="s">
        <v>235</v>
      </c>
      <c r="C187">
        <v>1.2229999999999999E-3</v>
      </c>
      <c r="D187" t="s">
        <v>145</v>
      </c>
      <c r="E187">
        <f t="shared" ca="1" si="38"/>
        <v>5.266762349875108E-4</v>
      </c>
      <c r="F187">
        <f t="shared" ca="1" si="39"/>
        <v>-6.8665217027272699E-2</v>
      </c>
      <c r="G187">
        <f t="shared" ca="1" si="40"/>
        <v>-3.4069270396142597E-2</v>
      </c>
      <c r="H187" t="str">
        <f t="shared" si="41"/>
        <v>0-0.05</v>
      </c>
      <c r="I187">
        <f t="shared" si="42"/>
        <v>1.2227554489102179E-3</v>
      </c>
      <c r="J187" s="2">
        <f t="shared" si="43"/>
        <v>2.4455108978203681E-7</v>
      </c>
      <c r="K187" t="str">
        <f t="shared" si="44"/>
        <v>&lt;=10</v>
      </c>
      <c r="L187" s="12">
        <f t="shared" si="37"/>
        <v>2.0000000000000001E-4</v>
      </c>
    </row>
    <row r="188" spans="1:12" hidden="1" x14ac:dyDescent="0.35">
      <c r="A188" t="s">
        <v>367</v>
      </c>
      <c r="B188" t="s">
        <v>368</v>
      </c>
      <c r="C188">
        <v>1.885E-3</v>
      </c>
      <c r="D188" t="s">
        <v>62</v>
      </c>
      <c r="E188">
        <f t="shared" ca="1" si="38"/>
        <v>8.2330021035007302E-3</v>
      </c>
      <c r="F188">
        <f t="shared" ca="1" si="39"/>
        <v>6.5937700051391544E-3</v>
      </c>
      <c r="G188">
        <f t="shared" ca="1" si="40"/>
        <v>7.4133860543199419E-3</v>
      </c>
      <c r="H188" t="str">
        <f t="shared" si="41"/>
        <v>0-0.05</v>
      </c>
      <c r="I188">
        <f t="shared" si="42"/>
        <v>1.8848115188481152E-3</v>
      </c>
      <c r="J188" s="2">
        <f t="shared" si="43"/>
        <v>1.8848115188475206E-7</v>
      </c>
      <c r="K188" t="str">
        <f t="shared" si="44"/>
        <v>&lt;=10</v>
      </c>
      <c r="L188" s="12">
        <f t="shared" si="37"/>
        <v>1E-4</v>
      </c>
    </row>
    <row r="189" spans="1:12" hidden="1" x14ac:dyDescent="0.35">
      <c r="A189" t="s">
        <v>398</v>
      </c>
      <c r="B189" t="s">
        <v>399</v>
      </c>
      <c r="C189">
        <v>8.03E-4</v>
      </c>
      <c r="D189" t="s">
        <v>145</v>
      </c>
      <c r="E189">
        <f t="shared" ca="1" si="38"/>
        <v>-4.0767831807534904E-2</v>
      </c>
      <c r="F189">
        <f t="shared" ca="1" si="39"/>
        <v>1.8411624238906188E-2</v>
      </c>
      <c r="G189">
        <f t="shared" ca="1" si="40"/>
        <v>-1.1178103784314358E-2</v>
      </c>
      <c r="H189" t="str">
        <f t="shared" si="41"/>
        <v>0-0.05</v>
      </c>
      <c r="I189">
        <f t="shared" si="42"/>
        <v>8.028394321135773E-4</v>
      </c>
      <c r="J189" s="2">
        <f t="shared" si="43"/>
        <v>1.6056788642269948E-7</v>
      </c>
      <c r="K189" t="str">
        <f t="shared" si="44"/>
        <v>&lt;=10</v>
      </c>
      <c r="L189" s="12">
        <f t="shared" si="37"/>
        <v>2.0000000000000001E-4</v>
      </c>
    </row>
    <row r="190" spans="1:12" hidden="1" x14ac:dyDescent="0.35">
      <c r="A190" t="s">
        <v>396</v>
      </c>
      <c r="B190" t="s">
        <v>397</v>
      </c>
      <c r="C190">
        <v>2.8370000000000001E-5</v>
      </c>
      <c r="D190" t="s">
        <v>366</v>
      </c>
      <c r="E190">
        <f t="shared" ca="1" si="38"/>
        <v>4.8837558087017931E-2</v>
      </c>
      <c r="F190">
        <f t="shared" ca="1" si="39"/>
        <v>8.6131179008523559E-2</v>
      </c>
      <c r="G190">
        <f t="shared" ca="1" si="40"/>
        <v>6.7484368547770748E-2</v>
      </c>
      <c r="H190" t="str">
        <f t="shared" si="41"/>
        <v>0-0.05</v>
      </c>
      <c r="I190">
        <f t="shared" si="42"/>
        <v>2.8265417953571784E-5</v>
      </c>
      <c r="J190" s="2">
        <f t="shared" si="43"/>
        <v>1.0458204642821678E-7</v>
      </c>
      <c r="K190" t="str">
        <f t="shared" si="44"/>
        <v>&lt;=10</v>
      </c>
      <c r="L190" s="12">
        <f t="shared" si="37"/>
        <v>3.7000000000000002E-3</v>
      </c>
    </row>
    <row r="191" spans="1:12" hidden="1" x14ac:dyDescent="0.35">
      <c r="A191" t="s">
        <v>387</v>
      </c>
      <c r="B191" t="s">
        <v>388</v>
      </c>
      <c r="C191">
        <v>2.1639999999999999E-5</v>
      </c>
      <c r="D191" t="s">
        <v>18</v>
      </c>
      <c r="E191">
        <f t="shared" ca="1" si="38"/>
        <v>3.8299067292535363E-2</v>
      </c>
      <c r="F191">
        <f t="shared" ca="1" si="39"/>
        <v>1.9092902040909278E-2</v>
      </c>
      <c r="G191">
        <f t="shared" ca="1" si="40"/>
        <v>2.869598466672232E-2</v>
      </c>
      <c r="H191" t="str">
        <f t="shared" si="41"/>
        <v>0-0.05</v>
      </c>
      <c r="I191">
        <f t="shared" si="42"/>
        <v>2.1618381618381622E-5</v>
      </c>
      <c r="J191" s="2">
        <f t="shared" si="43"/>
        <v>2.1618381618377681E-8</v>
      </c>
      <c r="K191" t="str">
        <f t="shared" si="44"/>
        <v>&lt;=10</v>
      </c>
      <c r="L191" s="12">
        <f t="shared" si="37"/>
        <v>1E-3</v>
      </c>
    </row>
    <row r="192" spans="1:12" hidden="1" x14ac:dyDescent="0.35">
      <c r="A192" t="s">
        <v>78</v>
      </c>
      <c r="B192" t="s">
        <v>79</v>
      </c>
      <c r="C192">
        <v>0.99970000000000003</v>
      </c>
      <c r="D192" t="s">
        <v>80</v>
      </c>
      <c r="E192">
        <f t="shared" ca="1" si="38"/>
        <v>6.5798214568870694E-3</v>
      </c>
      <c r="F192">
        <f t="shared" ca="1" si="39"/>
        <v>9.9658230953495915E-3</v>
      </c>
      <c r="G192">
        <f t="shared" ca="1" si="40"/>
        <v>8.2728222761183304E-3</v>
      </c>
      <c r="H192" t="str">
        <f t="shared" si="41"/>
        <v>0.5-5</v>
      </c>
      <c r="I192">
        <f t="shared" si="42"/>
        <v>0.99970000000000003</v>
      </c>
      <c r="J192" s="2">
        <f t="shared" si="43"/>
        <v>0</v>
      </c>
      <c r="K192" t="str">
        <f t="shared" si="44"/>
        <v>&lt;=10</v>
      </c>
      <c r="L192" s="12">
        <f t="shared" si="37"/>
        <v>0</v>
      </c>
    </row>
    <row r="193" spans="1:12" hidden="1" x14ac:dyDescent="0.35">
      <c r="A193" t="s">
        <v>304</v>
      </c>
      <c r="B193" t="s">
        <v>305</v>
      </c>
      <c r="C193">
        <v>0.1065</v>
      </c>
      <c r="D193" t="s">
        <v>80</v>
      </c>
      <c r="E193">
        <f t="shared" ca="1" si="38"/>
        <v>3.0397574005616046E-2</v>
      </c>
      <c r="F193">
        <f t="shared" ca="1" si="39"/>
        <v>4.6358088692846099E-2</v>
      </c>
      <c r="G193">
        <f t="shared" ca="1" si="40"/>
        <v>3.8377831349231076E-2</v>
      </c>
      <c r="H193" t="str">
        <f t="shared" si="41"/>
        <v>0.05-0.5</v>
      </c>
      <c r="I193">
        <f t="shared" si="42"/>
        <v>0.1065</v>
      </c>
      <c r="J193" s="2">
        <f t="shared" si="43"/>
        <v>0</v>
      </c>
      <c r="K193" t="str">
        <f t="shared" si="44"/>
        <v>&lt;=10</v>
      </c>
      <c r="L193" s="12">
        <f t="shared" si="37"/>
        <v>0</v>
      </c>
    </row>
    <row r="194" spans="1:12" hidden="1" x14ac:dyDescent="0.35">
      <c r="A194" t="s">
        <v>341</v>
      </c>
      <c r="B194" t="s">
        <v>342</v>
      </c>
      <c r="C194">
        <v>2.5340000000000001E-2</v>
      </c>
      <c r="D194" t="s">
        <v>80</v>
      </c>
      <c r="E194">
        <f t="shared" ref="E194:E201" ca="1" si="45">D194 + (RAND()-0.5)/10</f>
        <v>-1.416101857464902E-2</v>
      </c>
      <c r="F194">
        <f t="shared" ref="F194:F201" ca="1" si="46">D194 + (RAND()-0.5)/5</f>
        <v>1.321637784787213E-2</v>
      </c>
      <c r="G194">
        <f t="shared" ref="G194:G201" ca="1" si="47">AVERAGE(D194,E194,F194)</f>
        <v>-4.7232036338844523E-4</v>
      </c>
      <c r="H194" t="str">
        <f t="shared" ref="H194:H201" si="48">IF(C194&lt;=0.05,"0-0.05",
IF(C194&lt;=0.5,"0.05-0.5",
IF(C194&lt;=5,"0.5-5",
IF(C194&lt;=50,"5-50","&gt;50"))))</f>
        <v>0-0.05</v>
      </c>
      <c r="I194">
        <f t="shared" ref="I194:I201" si="49">C194/(1+D194)</f>
        <v>2.5340000000000001E-2</v>
      </c>
      <c r="J194" s="2">
        <f t="shared" ref="J194:J201" si="50">C194-I194</f>
        <v>0</v>
      </c>
      <c r="K194" t="str">
        <f t="shared" ref="K194:K201" si="51">IF(C194&lt;=10,"&lt;=10","&gt;=10")</f>
        <v>&lt;=10</v>
      </c>
      <c r="L194" s="12">
        <f t="shared" ref="L194:L201" si="52">VALUE(D194)</f>
        <v>0</v>
      </c>
    </row>
    <row r="195" spans="1:12" hidden="1" x14ac:dyDescent="0.35">
      <c r="A195" t="s">
        <v>352</v>
      </c>
      <c r="B195" t="s">
        <v>353</v>
      </c>
      <c r="C195">
        <v>5.4479999999999997E-3</v>
      </c>
      <c r="D195" t="s">
        <v>80</v>
      </c>
      <c r="E195">
        <f t="shared" ca="1" si="45"/>
        <v>-2.7555606818375312E-2</v>
      </c>
      <c r="F195">
        <f t="shared" ca="1" si="46"/>
        <v>2.4918696447094747E-2</v>
      </c>
      <c r="G195">
        <f t="shared" ca="1" si="47"/>
        <v>-1.3184551856402823E-3</v>
      </c>
      <c r="H195" t="str">
        <f t="shared" si="48"/>
        <v>0-0.05</v>
      </c>
      <c r="I195">
        <f t="shared" si="49"/>
        <v>5.4479999999999997E-3</v>
      </c>
      <c r="J195" s="2">
        <f t="shared" si="50"/>
        <v>0</v>
      </c>
      <c r="K195" t="str">
        <f t="shared" si="51"/>
        <v>&lt;=10</v>
      </c>
      <c r="L195" s="12">
        <f t="shared" si="52"/>
        <v>0</v>
      </c>
    </row>
    <row r="196" spans="1:12" hidden="1" x14ac:dyDescent="0.35">
      <c r="A196" t="s">
        <v>423</v>
      </c>
      <c r="B196" t="s">
        <v>424</v>
      </c>
      <c r="C196">
        <v>8.6726999999999999E-2</v>
      </c>
      <c r="D196" t="s">
        <v>80</v>
      </c>
      <c r="E196">
        <f t="shared" ca="1" si="45"/>
        <v>1.6453714889656912E-2</v>
      </c>
      <c r="F196">
        <f t="shared" ca="1" si="46"/>
        <v>3.9326975341357186E-2</v>
      </c>
      <c r="G196">
        <f t="shared" ca="1" si="47"/>
        <v>2.7890345115507049E-2</v>
      </c>
      <c r="H196" t="str">
        <f t="shared" si="48"/>
        <v>0.05-0.5</v>
      </c>
      <c r="I196">
        <f t="shared" si="49"/>
        <v>8.6726999999999999E-2</v>
      </c>
      <c r="J196" s="2">
        <f t="shared" si="50"/>
        <v>0</v>
      </c>
      <c r="K196" t="str">
        <f t="shared" si="51"/>
        <v>&lt;=10</v>
      </c>
      <c r="L196" s="12">
        <f t="shared" si="52"/>
        <v>0</v>
      </c>
    </row>
    <row r="197" spans="1:12" hidden="1" x14ac:dyDescent="0.35">
      <c r="A197" t="s">
        <v>460</v>
      </c>
      <c r="B197" t="s">
        <v>461</v>
      </c>
      <c r="C197">
        <v>3.1489999999999999E-3</v>
      </c>
      <c r="D197" t="s">
        <v>80</v>
      </c>
      <c r="E197">
        <f t="shared" ca="1" si="45"/>
        <v>-2.5581149193415441E-2</v>
      </c>
      <c r="F197">
        <f t="shared" ca="1" si="46"/>
        <v>-5.5466567099995576E-2</v>
      </c>
      <c r="G197">
        <f t="shared" ca="1" si="47"/>
        <v>-4.0523858146705505E-2</v>
      </c>
      <c r="H197" t="str">
        <f t="shared" si="48"/>
        <v>0-0.05</v>
      </c>
      <c r="I197">
        <f t="shared" si="49"/>
        <v>3.1489999999999999E-3</v>
      </c>
      <c r="J197" s="2">
        <f t="shared" si="50"/>
        <v>0</v>
      </c>
      <c r="K197" t="str">
        <f t="shared" si="51"/>
        <v>&lt;=10</v>
      </c>
      <c r="L197" s="12">
        <f t="shared" si="52"/>
        <v>0</v>
      </c>
    </row>
    <row r="198" spans="1:12" hidden="1" x14ac:dyDescent="0.35">
      <c r="A198" t="s">
        <v>465</v>
      </c>
      <c r="B198" t="s">
        <v>466</v>
      </c>
      <c r="C198">
        <v>6.6490000000000004E-3</v>
      </c>
      <c r="D198" t="s">
        <v>80</v>
      </c>
      <c r="E198">
        <f t="shared" ca="1" si="45"/>
        <v>-2.8026979462187553E-2</v>
      </c>
      <c r="F198">
        <f t="shared" ca="1" si="46"/>
        <v>3.1428464847734559E-2</v>
      </c>
      <c r="G198">
        <f t="shared" ca="1" si="47"/>
        <v>1.7007426927735034E-3</v>
      </c>
      <c r="H198" t="str">
        <f t="shared" si="48"/>
        <v>0-0.05</v>
      </c>
      <c r="I198">
        <f t="shared" si="49"/>
        <v>6.6490000000000004E-3</v>
      </c>
      <c r="J198" s="2">
        <f t="shared" si="50"/>
        <v>0</v>
      </c>
      <c r="K198" t="str">
        <f t="shared" si="51"/>
        <v>&lt;=10</v>
      </c>
      <c r="L198" s="12">
        <f t="shared" si="52"/>
        <v>0</v>
      </c>
    </row>
    <row r="199" spans="1:12" hidden="1" x14ac:dyDescent="0.35">
      <c r="A199" t="s">
        <v>478</v>
      </c>
      <c r="B199" t="s">
        <v>479</v>
      </c>
      <c r="C199">
        <v>6.391E-3</v>
      </c>
      <c r="D199" t="s">
        <v>80</v>
      </c>
      <c r="E199">
        <f t="shared" ca="1" si="45"/>
        <v>4.0427365684981696E-2</v>
      </c>
      <c r="F199">
        <f t="shared" ca="1" si="46"/>
        <v>9.3226824276291517E-2</v>
      </c>
      <c r="G199">
        <f t="shared" ca="1" si="47"/>
        <v>6.6827094980636603E-2</v>
      </c>
      <c r="H199" t="str">
        <f t="shared" si="48"/>
        <v>0-0.05</v>
      </c>
      <c r="I199">
        <f t="shared" si="49"/>
        <v>6.391E-3</v>
      </c>
      <c r="J199" s="2">
        <f t="shared" si="50"/>
        <v>0</v>
      </c>
      <c r="K199" t="str">
        <f t="shared" si="51"/>
        <v>&lt;=10</v>
      </c>
      <c r="L199" s="12">
        <f t="shared" si="52"/>
        <v>0</v>
      </c>
    </row>
    <row r="200" spans="1:12" hidden="1" x14ac:dyDescent="0.35">
      <c r="A200" t="s">
        <v>480</v>
      </c>
      <c r="B200" t="s">
        <v>481</v>
      </c>
      <c r="C200">
        <v>3.8420000000000001E-4</v>
      </c>
      <c r="D200" t="s">
        <v>80</v>
      </c>
      <c r="E200">
        <f t="shared" ca="1" si="45"/>
        <v>-3.0574525870134837E-2</v>
      </c>
      <c r="F200">
        <f t="shared" ca="1" si="46"/>
        <v>-9.1822792714793169E-2</v>
      </c>
      <c r="G200">
        <f t="shared" ca="1" si="47"/>
        <v>-6.1198659292464E-2</v>
      </c>
      <c r="H200" t="str">
        <f t="shared" si="48"/>
        <v>0-0.05</v>
      </c>
      <c r="I200">
        <f t="shared" si="49"/>
        <v>3.8420000000000001E-4</v>
      </c>
      <c r="J200" s="2">
        <f t="shared" si="50"/>
        <v>0</v>
      </c>
      <c r="K200" t="str">
        <f t="shared" si="51"/>
        <v>&lt;=10</v>
      </c>
      <c r="L200" s="12">
        <f t="shared" si="52"/>
        <v>0</v>
      </c>
    </row>
    <row r="201" spans="1:12" hidden="1" x14ac:dyDescent="0.35">
      <c r="A201" t="s">
        <v>495</v>
      </c>
      <c r="B201" t="s">
        <v>496</v>
      </c>
      <c r="C201">
        <v>1.286E-3</v>
      </c>
      <c r="D201" t="s">
        <v>80</v>
      </c>
      <c r="E201">
        <f t="shared" ca="1" si="45"/>
        <v>-4.5773134387147585E-3</v>
      </c>
      <c r="F201">
        <f t="shared" ca="1" si="46"/>
        <v>-9.1440472063743422E-2</v>
      </c>
      <c r="G201">
        <f t="shared" ca="1" si="47"/>
        <v>-4.800889275122909E-2</v>
      </c>
      <c r="H201" t="str">
        <f t="shared" si="48"/>
        <v>0-0.05</v>
      </c>
      <c r="I201">
        <f t="shared" si="49"/>
        <v>1.286E-3</v>
      </c>
      <c r="J201" s="2">
        <f t="shared" si="50"/>
        <v>0</v>
      </c>
      <c r="K201" t="str">
        <f t="shared" si="51"/>
        <v>&lt;=10</v>
      </c>
      <c r="L201" s="12">
        <f t="shared" si="52"/>
        <v>0</v>
      </c>
    </row>
  </sheetData>
  <phoneticPr fontId="2" type="noConversion"/>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71F633-4C01-4C73-9CB2-1DDAFB5C6286}">
  <sheetPr codeName="Sheet5" filterMode="1"/>
  <dimension ref="A1:G201"/>
  <sheetViews>
    <sheetView workbookViewId="0">
      <selection activeCell="G8" sqref="G8"/>
    </sheetView>
  </sheetViews>
  <sheetFormatPr defaultRowHeight="14.5" x14ac:dyDescent="0.35"/>
  <cols>
    <col min="1" max="1" width="10.7265625" customWidth="1"/>
    <col min="2" max="2" width="10.90625" customWidth="1"/>
    <col min="3" max="3" width="12.36328125" customWidth="1"/>
    <col min="4" max="4" width="14.453125" customWidth="1"/>
    <col min="5" max="5" width="16.7265625" customWidth="1"/>
    <col min="7" max="7" width="17.54296875" customWidth="1"/>
  </cols>
  <sheetData>
    <row r="1" spans="1:7" x14ac:dyDescent="0.35">
      <c r="A1" s="16" t="s">
        <v>0</v>
      </c>
      <c r="B1" s="16" t="s">
        <v>1</v>
      </c>
      <c r="C1" s="16" t="s">
        <v>525</v>
      </c>
      <c r="D1" s="16" t="s">
        <v>526</v>
      </c>
      <c r="E1" s="16" t="s">
        <v>527</v>
      </c>
      <c r="F1" s="15" t="s">
        <v>922</v>
      </c>
      <c r="G1" t="s">
        <v>923</v>
      </c>
    </row>
    <row r="2" spans="1:7" x14ac:dyDescent="0.35">
      <c r="A2" t="s">
        <v>304</v>
      </c>
      <c r="B2" t="s">
        <v>305</v>
      </c>
      <c r="C2" t="s">
        <v>750</v>
      </c>
      <c r="D2" t="s">
        <v>80</v>
      </c>
      <c r="E2" t="s">
        <v>751</v>
      </c>
      <c r="F2" t="b">
        <f t="shared" ref="F2:F33" si="0">OR(LEFT(A2,1)="A",LEFT(A2,1)="E",LEFT(A2,1)="I",LEFT(A2,1)="O",LEFT(A2,1)="U",LEFT(A2,1)="B",LEFT(A2,1)="C",LEFT(A2,1)="D")</f>
        <v>1</v>
      </c>
      <c r="G2">
        <f>IFERROR(VALUE(SUBSTITUTE(SUBSTITUTE(E2,"$",""),",","")),0)</f>
        <v>0</v>
      </c>
    </row>
    <row r="3" spans="1:7" x14ac:dyDescent="0.35">
      <c r="A3" t="s">
        <v>480</v>
      </c>
      <c r="B3" t="s">
        <v>481</v>
      </c>
      <c r="C3" t="s">
        <v>899</v>
      </c>
      <c r="D3" t="s">
        <v>80</v>
      </c>
      <c r="E3" t="s">
        <v>751</v>
      </c>
      <c r="F3" t="b">
        <f t="shared" si="0"/>
        <v>1</v>
      </c>
      <c r="G3">
        <f>IFERROR(VALUE(SUBSTITUTE(SUBSTITUTE(E3,"$",""),",","")),0)</f>
        <v>0</v>
      </c>
    </row>
    <row r="4" spans="1:7" hidden="1" x14ac:dyDescent="0.35">
      <c r="A4" t="s">
        <v>12</v>
      </c>
      <c r="B4" t="s">
        <v>13</v>
      </c>
      <c r="C4" t="s">
        <v>532</v>
      </c>
      <c r="D4" t="s">
        <v>14</v>
      </c>
      <c r="E4" t="s">
        <v>533</v>
      </c>
      <c r="F4" t="b">
        <f t="shared" si="0"/>
        <v>0</v>
      </c>
      <c r="G4">
        <f t="shared" ref="G4:G35" si="1">VALUE(SUBSTITUTE(SUBSTITUTE(E4,"$",""),",",""))</f>
        <v>60772601456</v>
      </c>
    </row>
    <row r="5" spans="1:7" hidden="1" x14ac:dyDescent="0.35">
      <c r="A5" t="s">
        <v>15</v>
      </c>
      <c r="B5" t="s">
        <v>15</v>
      </c>
      <c r="C5" t="s">
        <v>534</v>
      </c>
      <c r="D5" t="s">
        <v>16</v>
      </c>
      <c r="E5" t="s">
        <v>535</v>
      </c>
      <c r="F5" t="b">
        <f t="shared" si="0"/>
        <v>0</v>
      </c>
      <c r="G5">
        <f t="shared" si="1"/>
        <v>2046333328</v>
      </c>
    </row>
    <row r="6" spans="1:7" x14ac:dyDescent="0.35">
      <c r="A6" t="s">
        <v>6</v>
      </c>
      <c r="B6" t="s">
        <v>7</v>
      </c>
      <c r="C6" t="s">
        <v>528</v>
      </c>
      <c r="D6" t="s">
        <v>8</v>
      </c>
      <c r="E6" t="s">
        <v>529</v>
      </c>
      <c r="F6" t="b">
        <f t="shared" si="0"/>
        <v>1</v>
      </c>
      <c r="G6">
        <f t="shared" si="1"/>
        <v>43170391288</v>
      </c>
    </row>
    <row r="7" spans="1:7" hidden="1" x14ac:dyDescent="0.35">
      <c r="A7" t="s">
        <v>19</v>
      </c>
      <c r="B7" t="s">
        <v>20</v>
      </c>
      <c r="C7" t="s">
        <v>538</v>
      </c>
      <c r="D7" t="s">
        <v>21</v>
      </c>
      <c r="E7" t="s">
        <v>539</v>
      </c>
      <c r="F7" t="b">
        <f t="shared" si="0"/>
        <v>0</v>
      </c>
      <c r="G7">
        <f t="shared" si="1"/>
        <v>2904341748</v>
      </c>
    </row>
    <row r="8" spans="1:7" x14ac:dyDescent="0.35">
      <c r="A8" t="s">
        <v>9</v>
      </c>
      <c r="B8" t="s">
        <v>10</v>
      </c>
      <c r="C8" t="s">
        <v>530</v>
      </c>
      <c r="D8" t="s">
        <v>11</v>
      </c>
      <c r="E8" t="s">
        <v>531</v>
      </c>
      <c r="F8" t="b">
        <f t="shared" si="0"/>
        <v>1</v>
      </c>
      <c r="G8">
        <f t="shared" si="1"/>
        <v>14942260356</v>
      </c>
    </row>
    <row r="9" spans="1:7" hidden="1" x14ac:dyDescent="0.35">
      <c r="A9" t="s">
        <v>24</v>
      </c>
      <c r="B9" t="s">
        <v>25</v>
      </c>
      <c r="C9" t="s">
        <v>542</v>
      </c>
      <c r="D9" t="s">
        <v>26</v>
      </c>
      <c r="E9" t="s">
        <v>543</v>
      </c>
      <c r="F9" t="b">
        <f t="shared" si="0"/>
        <v>0</v>
      </c>
      <c r="G9">
        <f t="shared" si="1"/>
        <v>445406337</v>
      </c>
    </row>
    <row r="10" spans="1:7" x14ac:dyDescent="0.35">
      <c r="A10" t="s">
        <v>22</v>
      </c>
      <c r="B10" t="s">
        <v>22</v>
      </c>
      <c r="C10" t="s">
        <v>540</v>
      </c>
      <c r="D10" t="s">
        <v>23</v>
      </c>
      <c r="E10" t="s">
        <v>541</v>
      </c>
      <c r="F10" t="b">
        <f t="shared" si="0"/>
        <v>1</v>
      </c>
      <c r="G10">
        <f t="shared" si="1"/>
        <v>8208315257</v>
      </c>
    </row>
    <row r="11" spans="1:7" x14ac:dyDescent="0.35">
      <c r="A11" t="s">
        <v>17</v>
      </c>
      <c r="B11" t="s">
        <v>17</v>
      </c>
      <c r="C11" t="s">
        <v>536</v>
      </c>
      <c r="D11" t="s">
        <v>18</v>
      </c>
      <c r="E11" t="s">
        <v>537</v>
      </c>
      <c r="F11" t="b">
        <f t="shared" si="0"/>
        <v>1</v>
      </c>
      <c r="G11">
        <f t="shared" si="1"/>
        <v>1497928447</v>
      </c>
    </row>
    <row r="12" spans="1:7" hidden="1" x14ac:dyDescent="0.35">
      <c r="A12" t="s">
        <v>33</v>
      </c>
      <c r="B12" t="s">
        <v>34</v>
      </c>
      <c r="C12" t="s">
        <v>548</v>
      </c>
      <c r="D12" t="s">
        <v>35</v>
      </c>
      <c r="E12" t="s">
        <v>549</v>
      </c>
      <c r="F12" t="b">
        <f t="shared" si="0"/>
        <v>0</v>
      </c>
      <c r="G12">
        <f t="shared" si="1"/>
        <v>60468868</v>
      </c>
    </row>
    <row r="13" spans="1:7" hidden="1" x14ac:dyDescent="0.35">
      <c r="A13" t="s">
        <v>36</v>
      </c>
      <c r="B13" t="s">
        <v>37</v>
      </c>
      <c r="C13" t="s">
        <v>550</v>
      </c>
      <c r="D13" t="s">
        <v>38</v>
      </c>
      <c r="E13" t="s">
        <v>551</v>
      </c>
      <c r="F13" t="b">
        <f t="shared" si="0"/>
        <v>0</v>
      </c>
      <c r="G13">
        <f t="shared" si="1"/>
        <v>22854744</v>
      </c>
    </row>
    <row r="14" spans="1:7" hidden="1" x14ac:dyDescent="0.35">
      <c r="A14" t="s">
        <v>39</v>
      </c>
      <c r="B14" t="s">
        <v>40</v>
      </c>
      <c r="C14" t="s">
        <v>552</v>
      </c>
      <c r="D14" t="s">
        <v>41</v>
      </c>
      <c r="E14" t="s">
        <v>553</v>
      </c>
      <c r="F14" t="b">
        <f t="shared" si="0"/>
        <v>0</v>
      </c>
      <c r="G14">
        <f t="shared" si="1"/>
        <v>110228545</v>
      </c>
    </row>
    <row r="15" spans="1:7" x14ac:dyDescent="0.35">
      <c r="A15" t="s">
        <v>27</v>
      </c>
      <c r="B15" t="s">
        <v>28</v>
      </c>
      <c r="C15" t="s">
        <v>544</v>
      </c>
      <c r="D15" t="s">
        <v>29</v>
      </c>
      <c r="E15" t="s">
        <v>545</v>
      </c>
      <c r="F15" t="b">
        <f t="shared" si="0"/>
        <v>1</v>
      </c>
      <c r="G15">
        <f t="shared" si="1"/>
        <v>781433558</v>
      </c>
    </row>
    <row r="16" spans="1:7" hidden="1" x14ac:dyDescent="0.35">
      <c r="A16" t="s">
        <v>45</v>
      </c>
      <c r="B16" t="s">
        <v>46</v>
      </c>
      <c r="C16" t="s">
        <v>556</v>
      </c>
      <c r="D16" t="s">
        <v>47</v>
      </c>
      <c r="E16" t="s">
        <v>557</v>
      </c>
      <c r="F16" t="b">
        <f t="shared" si="0"/>
        <v>0</v>
      </c>
      <c r="G16">
        <f t="shared" si="1"/>
        <v>14355952</v>
      </c>
    </row>
    <row r="17" spans="1:7" hidden="1" x14ac:dyDescent="0.35">
      <c r="A17" t="s">
        <v>48</v>
      </c>
      <c r="B17" t="s">
        <v>49</v>
      </c>
      <c r="C17" t="s">
        <v>558</v>
      </c>
      <c r="D17" t="s">
        <v>50</v>
      </c>
      <c r="E17" t="s">
        <v>559</v>
      </c>
      <c r="F17" t="b">
        <f t="shared" si="0"/>
        <v>0</v>
      </c>
      <c r="G17">
        <f t="shared" si="1"/>
        <v>27917564</v>
      </c>
    </row>
    <row r="18" spans="1:7" hidden="1" x14ac:dyDescent="0.35">
      <c r="A18" t="s">
        <v>51</v>
      </c>
      <c r="B18" t="s">
        <v>52</v>
      </c>
      <c r="C18" t="s">
        <v>560</v>
      </c>
      <c r="D18" t="s">
        <v>53</v>
      </c>
      <c r="E18" t="s">
        <v>561</v>
      </c>
      <c r="F18" t="b">
        <f t="shared" si="0"/>
        <v>0</v>
      </c>
      <c r="G18">
        <f t="shared" si="1"/>
        <v>21157648</v>
      </c>
    </row>
    <row r="19" spans="1:7" hidden="1" x14ac:dyDescent="0.35">
      <c r="A19" t="s">
        <v>54</v>
      </c>
      <c r="B19" t="s">
        <v>55</v>
      </c>
      <c r="C19" t="s">
        <v>562</v>
      </c>
      <c r="D19" t="s">
        <v>56</v>
      </c>
      <c r="E19" t="s">
        <v>563</v>
      </c>
      <c r="F19" t="b">
        <f t="shared" si="0"/>
        <v>0</v>
      </c>
      <c r="G19">
        <f t="shared" si="1"/>
        <v>70946476</v>
      </c>
    </row>
    <row r="20" spans="1:7" x14ac:dyDescent="0.35">
      <c r="A20" t="s">
        <v>30</v>
      </c>
      <c r="B20" t="s">
        <v>31</v>
      </c>
      <c r="C20" t="s">
        <v>546</v>
      </c>
      <c r="D20" t="s">
        <v>32</v>
      </c>
      <c r="E20" t="s">
        <v>547</v>
      </c>
      <c r="F20" t="b">
        <f t="shared" si="0"/>
        <v>1</v>
      </c>
      <c r="G20">
        <f t="shared" si="1"/>
        <v>539447597</v>
      </c>
    </row>
    <row r="21" spans="1:7" hidden="1" x14ac:dyDescent="0.35">
      <c r="A21" t="s">
        <v>60</v>
      </c>
      <c r="B21" t="s">
        <v>61</v>
      </c>
      <c r="C21" t="s">
        <v>566</v>
      </c>
      <c r="D21" t="s">
        <v>62</v>
      </c>
      <c r="E21" t="s">
        <v>567</v>
      </c>
      <c r="F21" t="b">
        <f t="shared" si="0"/>
        <v>0</v>
      </c>
      <c r="G21">
        <f t="shared" si="1"/>
        <v>60347807</v>
      </c>
    </row>
    <row r="22" spans="1:7" hidden="1" x14ac:dyDescent="0.35">
      <c r="A22" t="s">
        <v>63</v>
      </c>
      <c r="B22" t="s">
        <v>64</v>
      </c>
      <c r="C22" t="s">
        <v>568</v>
      </c>
      <c r="D22" t="s">
        <v>62</v>
      </c>
      <c r="E22" t="s">
        <v>569</v>
      </c>
      <c r="F22" t="b">
        <f t="shared" si="0"/>
        <v>0</v>
      </c>
      <c r="G22">
        <f t="shared" si="1"/>
        <v>58305626</v>
      </c>
    </row>
    <row r="23" spans="1:7" hidden="1" x14ac:dyDescent="0.35">
      <c r="A23" t="s">
        <v>65</v>
      </c>
      <c r="B23" t="s">
        <v>66</v>
      </c>
      <c r="C23" t="s">
        <v>570</v>
      </c>
      <c r="D23" t="s">
        <v>67</v>
      </c>
      <c r="E23" t="s">
        <v>571</v>
      </c>
      <c r="F23" t="b">
        <f t="shared" si="0"/>
        <v>0</v>
      </c>
      <c r="G23">
        <f t="shared" si="1"/>
        <v>17245756</v>
      </c>
    </row>
    <row r="24" spans="1:7" hidden="1" x14ac:dyDescent="0.35">
      <c r="A24" t="s">
        <v>68</v>
      </c>
      <c r="B24" t="s">
        <v>69</v>
      </c>
      <c r="C24" t="s">
        <v>572</v>
      </c>
      <c r="D24" t="s">
        <v>70</v>
      </c>
      <c r="E24" t="s">
        <v>573</v>
      </c>
      <c r="F24" t="b">
        <f t="shared" si="0"/>
        <v>0</v>
      </c>
      <c r="G24">
        <f t="shared" si="1"/>
        <v>486945</v>
      </c>
    </row>
    <row r="25" spans="1:7" hidden="1" x14ac:dyDescent="0.35">
      <c r="A25" t="s">
        <v>71</v>
      </c>
      <c r="B25" t="s">
        <v>72</v>
      </c>
      <c r="C25" t="s">
        <v>574</v>
      </c>
      <c r="D25" t="s">
        <v>73</v>
      </c>
      <c r="E25" t="s">
        <v>575</v>
      </c>
      <c r="F25" t="b">
        <f t="shared" si="0"/>
        <v>0</v>
      </c>
      <c r="G25">
        <f t="shared" si="1"/>
        <v>2595867</v>
      </c>
    </row>
    <row r="26" spans="1:7" x14ac:dyDescent="0.35">
      <c r="A26" t="s">
        <v>217</v>
      </c>
      <c r="B26" t="s">
        <v>218</v>
      </c>
      <c r="C26" t="s">
        <v>680</v>
      </c>
      <c r="D26" t="s">
        <v>219</v>
      </c>
      <c r="E26" t="s">
        <v>681</v>
      </c>
      <c r="F26" t="b">
        <f t="shared" si="0"/>
        <v>1</v>
      </c>
      <c r="G26">
        <f t="shared" si="1"/>
        <v>40860347</v>
      </c>
    </row>
    <row r="27" spans="1:7" x14ac:dyDescent="0.35">
      <c r="A27" t="s">
        <v>117</v>
      </c>
      <c r="B27" t="s">
        <v>118</v>
      </c>
      <c r="C27" t="s">
        <v>608</v>
      </c>
      <c r="D27" t="s">
        <v>90</v>
      </c>
      <c r="E27" t="s">
        <v>609</v>
      </c>
      <c r="F27" t="b">
        <f t="shared" si="0"/>
        <v>1</v>
      </c>
      <c r="G27">
        <f t="shared" si="1"/>
        <v>25758134</v>
      </c>
    </row>
    <row r="28" spans="1:7" hidden="1" x14ac:dyDescent="0.35">
      <c r="A28" t="s">
        <v>78</v>
      </c>
      <c r="B28" t="s">
        <v>79</v>
      </c>
      <c r="C28" t="s">
        <v>580</v>
      </c>
      <c r="D28" t="s">
        <v>80</v>
      </c>
      <c r="E28" t="s">
        <v>581</v>
      </c>
      <c r="F28" t="b">
        <f t="shared" si="0"/>
        <v>0</v>
      </c>
      <c r="G28">
        <f t="shared" si="1"/>
        <v>3265776</v>
      </c>
    </row>
    <row r="29" spans="1:7" hidden="1" x14ac:dyDescent="0.35">
      <c r="A29" t="s">
        <v>81</v>
      </c>
      <c r="B29" t="s">
        <v>82</v>
      </c>
      <c r="C29" t="s">
        <v>582</v>
      </c>
      <c r="D29" t="s">
        <v>73</v>
      </c>
      <c r="E29" t="s">
        <v>583</v>
      </c>
      <c r="F29" t="b">
        <f t="shared" si="0"/>
        <v>0</v>
      </c>
      <c r="G29">
        <f t="shared" si="1"/>
        <v>183208</v>
      </c>
    </row>
    <row r="30" spans="1:7" hidden="1" x14ac:dyDescent="0.35">
      <c r="A30" t="s">
        <v>83</v>
      </c>
      <c r="B30" t="s">
        <v>84</v>
      </c>
      <c r="C30" t="s">
        <v>584</v>
      </c>
      <c r="D30" t="s">
        <v>85</v>
      </c>
      <c r="E30" t="s">
        <v>585</v>
      </c>
      <c r="F30" t="b">
        <f t="shared" si="0"/>
        <v>0</v>
      </c>
      <c r="G30">
        <f t="shared" si="1"/>
        <v>138536</v>
      </c>
    </row>
    <row r="31" spans="1:7" hidden="1" x14ac:dyDescent="0.35">
      <c r="A31" t="s">
        <v>86</v>
      </c>
      <c r="B31" t="s">
        <v>87</v>
      </c>
      <c r="C31" t="s">
        <v>586</v>
      </c>
      <c r="D31" t="s">
        <v>47</v>
      </c>
      <c r="E31" t="s">
        <v>587</v>
      </c>
      <c r="F31" t="b">
        <f t="shared" si="0"/>
        <v>0</v>
      </c>
      <c r="G31">
        <f t="shared" si="1"/>
        <v>772538</v>
      </c>
    </row>
    <row r="32" spans="1:7" x14ac:dyDescent="0.35">
      <c r="A32" t="s">
        <v>57</v>
      </c>
      <c r="B32" t="s">
        <v>58</v>
      </c>
      <c r="C32" t="s">
        <v>564</v>
      </c>
      <c r="D32" t="s">
        <v>59</v>
      </c>
      <c r="E32" t="s">
        <v>565</v>
      </c>
      <c r="F32" t="b">
        <f t="shared" si="0"/>
        <v>1</v>
      </c>
      <c r="G32">
        <f t="shared" si="1"/>
        <v>25685731</v>
      </c>
    </row>
    <row r="33" spans="1:7" hidden="1" x14ac:dyDescent="0.35">
      <c r="A33" t="s">
        <v>91</v>
      </c>
      <c r="B33" t="s">
        <v>92</v>
      </c>
      <c r="C33" t="s">
        <v>590</v>
      </c>
      <c r="D33" t="s">
        <v>93</v>
      </c>
      <c r="E33" t="s">
        <v>591</v>
      </c>
      <c r="F33" t="b">
        <f t="shared" si="0"/>
        <v>0</v>
      </c>
      <c r="G33">
        <f t="shared" si="1"/>
        <v>3268919</v>
      </c>
    </row>
    <row r="34" spans="1:7" hidden="1" x14ac:dyDescent="0.35">
      <c r="A34" t="s">
        <v>94</v>
      </c>
      <c r="B34" t="s">
        <v>95</v>
      </c>
      <c r="C34" t="s">
        <v>592</v>
      </c>
      <c r="D34" t="s">
        <v>96</v>
      </c>
      <c r="E34" t="s">
        <v>593</v>
      </c>
      <c r="F34" t="b">
        <f t="shared" ref="F34:F65" si="2">OR(LEFT(A34,1)="A",LEFT(A34,1)="E",LEFT(A34,1)="I",LEFT(A34,1)="O",LEFT(A34,1)="U",LEFT(A34,1)="B",LEFT(A34,1)="C",LEFT(A34,1)="D")</f>
        <v>0</v>
      </c>
      <c r="G34">
        <f t="shared" si="1"/>
        <v>4086544</v>
      </c>
    </row>
    <row r="35" spans="1:7" x14ac:dyDescent="0.35">
      <c r="A35" t="s">
        <v>161</v>
      </c>
      <c r="B35" t="s">
        <v>162</v>
      </c>
      <c r="C35" t="s">
        <v>638</v>
      </c>
      <c r="D35" t="s">
        <v>163</v>
      </c>
      <c r="E35" t="s">
        <v>639</v>
      </c>
      <c r="F35" t="b">
        <f t="shared" si="2"/>
        <v>1</v>
      </c>
      <c r="G35">
        <f t="shared" si="1"/>
        <v>22680605</v>
      </c>
    </row>
    <row r="36" spans="1:7" hidden="1" x14ac:dyDescent="0.35">
      <c r="A36" t="s">
        <v>99</v>
      </c>
      <c r="B36" t="s">
        <v>100</v>
      </c>
      <c r="C36" t="s">
        <v>596</v>
      </c>
      <c r="D36" t="s">
        <v>101</v>
      </c>
      <c r="E36" t="s">
        <v>597</v>
      </c>
      <c r="F36" t="b">
        <f t="shared" si="2"/>
        <v>0</v>
      </c>
      <c r="G36">
        <f t="shared" ref="G36:G67" si="3">VALUE(SUBSTITUTE(SUBSTITUTE(E36,"$",""),",",""))</f>
        <v>6571559</v>
      </c>
    </row>
    <row r="37" spans="1:7" hidden="1" x14ac:dyDescent="0.35">
      <c r="A37" t="s">
        <v>102</v>
      </c>
      <c r="B37" t="s">
        <v>103</v>
      </c>
      <c r="C37" t="s">
        <v>598</v>
      </c>
      <c r="D37" t="s">
        <v>104</v>
      </c>
      <c r="E37" t="s">
        <v>599</v>
      </c>
      <c r="F37" t="b">
        <f t="shared" si="2"/>
        <v>0</v>
      </c>
      <c r="G37">
        <f t="shared" si="3"/>
        <v>11365168</v>
      </c>
    </row>
    <row r="38" spans="1:7" hidden="1" x14ac:dyDescent="0.35">
      <c r="A38" t="s">
        <v>105</v>
      </c>
      <c r="B38" t="s">
        <v>106</v>
      </c>
      <c r="C38" t="s">
        <v>600</v>
      </c>
      <c r="D38" t="s">
        <v>107</v>
      </c>
      <c r="E38" t="s">
        <v>601</v>
      </c>
      <c r="F38" t="b">
        <f t="shared" si="2"/>
        <v>0</v>
      </c>
      <c r="G38">
        <f t="shared" si="3"/>
        <v>44129611</v>
      </c>
    </row>
    <row r="39" spans="1:7" x14ac:dyDescent="0.35">
      <c r="A39" t="s">
        <v>42</v>
      </c>
      <c r="B39" t="s">
        <v>43</v>
      </c>
      <c r="C39" t="s">
        <v>554</v>
      </c>
      <c r="D39" t="s">
        <v>44</v>
      </c>
      <c r="E39" t="s">
        <v>555</v>
      </c>
      <c r="F39" t="b">
        <f t="shared" si="2"/>
        <v>1</v>
      </c>
      <c r="G39">
        <f t="shared" si="3"/>
        <v>14386742</v>
      </c>
    </row>
    <row r="40" spans="1:7" hidden="1" x14ac:dyDescent="0.35">
      <c r="A40" t="s">
        <v>111</v>
      </c>
      <c r="B40" t="s">
        <v>112</v>
      </c>
      <c r="C40" t="s">
        <v>604</v>
      </c>
      <c r="D40" t="s">
        <v>113</v>
      </c>
      <c r="E40" t="s">
        <v>605</v>
      </c>
      <c r="F40" t="b">
        <f t="shared" si="2"/>
        <v>0</v>
      </c>
      <c r="G40">
        <f t="shared" si="3"/>
        <v>7215924</v>
      </c>
    </row>
    <row r="41" spans="1:7" hidden="1" x14ac:dyDescent="0.35">
      <c r="A41" t="s">
        <v>114</v>
      </c>
      <c r="B41" t="s">
        <v>115</v>
      </c>
      <c r="C41" t="s">
        <v>606</v>
      </c>
      <c r="D41" t="s">
        <v>116</v>
      </c>
      <c r="E41" t="s">
        <v>607</v>
      </c>
      <c r="F41" t="b">
        <f t="shared" si="2"/>
        <v>0</v>
      </c>
      <c r="G41">
        <f t="shared" si="3"/>
        <v>8143928</v>
      </c>
    </row>
    <row r="42" spans="1:7" x14ac:dyDescent="0.35">
      <c r="A42" t="s">
        <v>137</v>
      </c>
      <c r="B42" t="s">
        <v>138</v>
      </c>
      <c r="C42" t="s">
        <v>622</v>
      </c>
      <c r="D42" t="s">
        <v>139</v>
      </c>
      <c r="E42" t="s">
        <v>623</v>
      </c>
      <c r="F42" t="b">
        <f t="shared" si="2"/>
        <v>1</v>
      </c>
      <c r="G42">
        <f t="shared" si="3"/>
        <v>12716009</v>
      </c>
    </row>
    <row r="43" spans="1:7" x14ac:dyDescent="0.35">
      <c r="A43" t="s">
        <v>131</v>
      </c>
      <c r="B43" t="s">
        <v>132</v>
      </c>
      <c r="C43" t="s">
        <v>618</v>
      </c>
      <c r="D43" t="s">
        <v>133</v>
      </c>
      <c r="E43" t="s">
        <v>619</v>
      </c>
      <c r="F43" t="b">
        <f t="shared" si="2"/>
        <v>1</v>
      </c>
      <c r="G43">
        <f t="shared" si="3"/>
        <v>9190572</v>
      </c>
    </row>
    <row r="44" spans="1:7" hidden="1" x14ac:dyDescent="0.35">
      <c r="A44" t="s">
        <v>122</v>
      </c>
      <c r="B44" t="s">
        <v>123</v>
      </c>
      <c r="C44" t="s">
        <v>612</v>
      </c>
      <c r="D44" t="s">
        <v>124</v>
      </c>
      <c r="E44" t="s">
        <v>613</v>
      </c>
      <c r="F44" t="b">
        <f t="shared" si="2"/>
        <v>0</v>
      </c>
      <c r="G44">
        <f t="shared" si="3"/>
        <v>15717380</v>
      </c>
    </row>
    <row r="45" spans="1:7" hidden="1" x14ac:dyDescent="0.35">
      <c r="A45" t="s">
        <v>125</v>
      </c>
      <c r="B45" t="s">
        <v>126</v>
      </c>
      <c r="C45" t="s">
        <v>614</v>
      </c>
      <c r="D45" t="s">
        <v>127</v>
      </c>
      <c r="E45" t="s">
        <v>615</v>
      </c>
      <c r="F45" t="b">
        <f t="shared" si="2"/>
        <v>0</v>
      </c>
      <c r="G45">
        <f t="shared" si="3"/>
        <v>4873644</v>
      </c>
    </row>
    <row r="46" spans="1:7" x14ac:dyDescent="0.35">
      <c r="A46" t="s">
        <v>251</v>
      </c>
      <c r="B46" t="s">
        <v>252</v>
      </c>
      <c r="C46" t="s">
        <v>706</v>
      </c>
      <c r="D46" t="s">
        <v>16</v>
      </c>
      <c r="E46" t="s">
        <v>707</v>
      </c>
      <c r="F46" t="b">
        <f t="shared" si="2"/>
        <v>1</v>
      </c>
      <c r="G46">
        <f t="shared" si="3"/>
        <v>7675089</v>
      </c>
    </row>
    <row r="47" spans="1:7" x14ac:dyDescent="0.35">
      <c r="A47" t="s">
        <v>134</v>
      </c>
      <c r="B47" t="s">
        <v>135</v>
      </c>
      <c r="C47" t="s">
        <v>620</v>
      </c>
      <c r="D47" t="s">
        <v>136</v>
      </c>
      <c r="E47" t="s">
        <v>621</v>
      </c>
      <c r="F47" t="b">
        <f t="shared" si="2"/>
        <v>1</v>
      </c>
      <c r="G47">
        <f t="shared" si="3"/>
        <v>7399528</v>
      </c>
    </row>
    <row r="48" spans="1:7" x14ac:dyDescent="0.35">
      <c r="A48" t="s">
        <v>74</v>
      </c>
      <c r="B48" t="s">
        <v>75</v>
      </c>
      <c r="C48" t="s">
        <v>576</v>
      </c>
      <c r="D48" t="s">
        <v>62</v>
      </c>
      <c r="E48" t="s">
        <v>577</v>
      </c>
      <c r="F48" t="b">
        <f t="shared" si="2"/>
        <v>1</v>
      </c>
      <c r="G48">
        <f t="shared" si="3"/>
        <v>6754108</v>
      </c>
    </row>
    <row r="49" spans="1:7" x14ac:dyDescent="0.35">
      <c r="A49" t="s">
        <v>97</v>
      </c>
      <c r="B49" t="s">
        <v>97</v>
      </c>
      <c r="C49" t="s">
        <v>594</v>
      </c>
      <c r="D49" t="s">
        <v>98</v>
      </c>
      <c r="E49" t="s">
        <v>595</v>
      </c>
      <c r="F49" t="b">
        <f t="shared" si="2"/>
        <v>1</v>
      </c>
      <c r="G49">
        <f t="shared" si="3"/>
        <v>5574946</v>
      </c>
    </row>
    <row r="50" spans="1:7" hidden="1" x14ac:dyDescent="0.35">
      <c r="A50" t="s">
        <v>140</v>
      </c>
      <c r="B50" t="s">
        <v>141</v>
      </c>
      <c r="C50" t="s">
        <v>624</v>
      </c>
      <c r="D50" t="s">
        <v>142</v>
      </c>
      <c r="E50" t="s">
        <v>625</v>
      </c>
      <c r="F50" t="b">
        <f t="shared" si="2"/>
        <v>0</v>
      </c>
      <c r="G50">
        <f t="shared" si="3"/>
        <v>135025163</v>
      </c>
    </row>
    <row r="51" spans="1:7" hidden="1" x14ac:dyDescent="0.35">
      <c r="A51" t="s">
        <v>143</v>
      </c>
      <c r="B51" t="s">
        <v>144</v>
      </c>
      <c r="C51" t="s">
        <v>626</v>
      </c>
      <c r="D51" t="s">
        <v>145</v>
      </c>
      <c r="E51" t="s">
        <v>627</v>
      </c>
      <c r="F51" t="b">
        <f t="shared" si="2"/>
        <v>0</v>
      </c>
      <c r="G51">
        <f t="shared" si="3"/>
        <v>12909</v>
      </c>
    </row>
    <row r="52" spans="1:7" hidden="1" x14ac:dyDescent="0.35">
      <c r="A52" t="s">
        <v>146</v>
      </c>
      <c r="B52" t="s">
        <v>147</v>
      </c>
      <c r="C52" t="s">
        <v>628</v>
      </c>
      <c r="D52" t="s">
        <v>148</v>
      </c>
      <c r="E52" t="s">
        <v>629</v>
      </c>
      <c r="F52" t="b">
        <f t="shared" si="2"/>
        <v>0</v>
      </c>
      <c r="G52">
        <f t="shared" si="3"/>
        <v>16850030</v>
      </c>
    </row>
    <row r="53" spans="1:7" hidden="1" x14ac:dyDescent="0.35">
      <c r="A53" t="s">
        <v>149</v>
      </c>
      <c r="B53" t="s">
        <v>150</v>
      </c>
      <c r="C53" t="s">
        <v>630</v>
      </c>
      <c r="D53" t="s">
        <v>151</v>
      </c>
      <c r="E53" t="s">
        <v>631</v>
      </c>
      <c r="F53" t="b">
        <f t="shared" si="2"/>
        <v>0</v>
      </c>
      <c r="G53">
        <f t="shared" si="3"/>
        <v>448016</v>
      </c>
    </row>
    <row r="54" spans="1:7" x14ac:dyDescent="0.35">
      <c r="A54" t="s">
        <v>180</v>
      </c>
      <c r="B54" t="s">
        <v>181</v>
      </c>
      <c r="C54" t="s">
        <v>652</v>
      </c>
      <c r="D54" t="s">
        <v>182</v>
      </c>
      <c r="E54" t="s">
        <v>653</v>
      </c>
      <c r="F54" t="b">
        <f t="shared" si="2"/>
        <v>1</v>
      </c>
      <c r="G54">
        <f t="shared" si="3"/>
        <v>5008504</v>
      </c>
    </row>
    <row r="55" spans="1:7" hidden="1" x14ac:dyDescent="0.35">
      <c r="A55" t="s">
        <v>155</v>
      </c>
      <c r="B55" t="s">
        <v>156</v>
      </c>
      <c r="C55" t="s">
        <v>634</v>
      </c>
      <c r="D55" t="s">
        <v>157</v>
      </c>
      <c r="E55" t="s">
        <v>635</v>
      </c>
      <c r="F55" t="b">
        <f t="shared" si="2"/>
        <v>0</v>
      </c>
      <c r="G55">
        <f t="shared" si="3"/>
        <v>5590436</v>
      </c>
    </row>
    <row r="56" spans="1:7" hidden="1" x14ac:dyDescent="0.35">
      <c r="A56" t="s">
        <v>158</v>
      </c>
      <c r="B56" t="s">
        <v>159</v>
      </c>
      <c r="C56" t="s">
        <v>636</v>
      </c>
      <c r="D56" t="s">
        <v>160</v>
      </c>
      <c r="E56" t="s">
        <v>637</v>
      </c>
      <c r="F56" t="b">
        <f t="shared" si="2"/>
        <v>0</v>
      </c>
      <c r="G56">
        <f t="shared" si="3"/>
        <v>2536218</v>
      </c>
    </row>
    <row r="57" spans="1:7" x14ac:dyDescent="0.35">
      <c r="A57" t="s">
        <v>88</v>
      </c>
      <c r="B57" t="s">
        <v>89</v>
      </c>
      <c r="C57" t="s">
        <v>588</v>
      </c>
      <c r="D57" t="s">
        <v>90</v>
      </c>
      <c r="E57" t="s">
        <v>589</v>
      </c>
      <c r="F57" t="b">
        <f t="shared" si="2"/>
        <v>1</v>
      </c>
      <c r="G57">
        <f t="shared" si="3"/>
        <v>4884866</v>
      </c>
    </row>
    <row r="58" spans="1:7" x14ac:dyDescent="0.35">
      <c r="A58" t="s">
        <v>223</v>
      </c>
      <c r="B58" t="s">
        <v>224</v>
      </c>
      <c r="C58" t="s">
        <v>684</v>
      </c>
      <c r="D58" t="s">
        <v>154</v>
      </c>
      <c r="E58" t="s">
        <v>685</v>
      </c>
      <c r="F58" t="b">
        <f t="shared" si="2"/>
        <v>1</v>
      </c>
      <c r="G58">
        <f t="shared" si="3"/>
        <v>3675488</v>
      </c>
    </row>
    <row r="59" spans="1:7" hidden="1" x14ac:dyDescent="0.35">
      <c r="A59" t="s">
        <v>167</v>
      </c>
      <c r="B59" t="s">
        <v>168</v>
      </c>
      <c r="C59" t="s">
        <v>642</v>
      </c>
      <c r="D59" t="s">
        <v>67</v>
      </c>
      <c r="E59" t="s">
        <v>643</v>
      </c>
      <c r="F59" t="b">
        <f t="shared" si="2"/>
        <v>0</v>
      </c>
      <c r="G59">
        <f t="shared" si="3"/>
        <v>3358220</v>
      </c>
    </row>
    <row r="60" spans="1:7" hidden="1" x14ac:dyDescent="0.35">
      <c r="A60" t="s">
        <v>169</v>
      </c>
      <c r="B60" t="s">
        <v>170</v>
      </c>
      <c r="C60" t="s">
        <v>644</v>
      </c>
      <c r="D60" t="s">
        <v>18</v>
      </c>
      <c r="E60" t="s">
        <v>645</v>
      </c>
      <c r="F60" t="b">
        <f t="shared" si="2"/>
        <v>0</v>
      </c>
      <c r="G60">
        <f t="shared" si="3"/>
        <v>101491</v>
      </c>
    </row>
    <row r="61" spans="1:7" x14ac:dyDescent="0.35">
      <c r="A61" t="s">
        <v>262</v>
      </c>
      <c r="B61" t="s">
        <v>263</v>
      </c>
      <c r="C61" t="s">
        <v>716</v>
      </c>
      <c r="D61" t="s">
        <v>264</v>
      </c>
      <c r="E61" t="s">
        <v>717</v>
      </c>
      <c r="F61" t="b">
        <f t="shared" si="2"/>
        <v>1</v>
      </c>
      <c r="G61">
        <f t="shared" si="3"/>
        <v>3645223</v>
      </c>
    </row>
    <row r="62" spans="1:7" hidden="1" x14ac:dyDescent="0.35">
      <c r="A62" t="s">
        <v>174</v>
      </c>
      <c r="B62" t="s">
        <v>175</v>
      </c>
      <c r="C62" t="s">
        <v>648</v>
      </c>
      <c r="D62" t="s">
        <v>176</v>
      </c>
      <c r="E62" t="s">
        <v>649</v>
      </c>
      <c r="F62" t="b">
        <f t="shared" si="2"/>
        <v>0</v>
      </c>
      <c r="G62">
        <f t="shared" si="3"/>
        <v>17173</v>
      </c>
    </row>
    <row r="63" spans="1:7" hidden="1" x14ac:dyDescent="0.35">
      <c r="A63" t="s">
        <v>177</v>
      </c>
      <c r="B63" t="s">
        <v>178</v>
      </c>
      <c r="C63" t="s">
        <v>650</v>
      </c>
      <c r="D63" t="s">
        <v>179</v>
      </c>
      <c r="E63" t="s">
        <v>651</v>
      </c>
      <c r="F63" t="b">
        <f t="shared" si="2"/>
        <v>0</v>
      </c>
      <c r="G63">
        <f t="shared" si="3"/>
        <v>1913531</v>
      </c>
    </row>
    <row r="64" spans="1:7" x14ac:dyDescent="0.35">
      <c r="A64" t="s">
        <v>191</v>
      </c>
      <c r="B64" t="s">
        <v>192</v>
      </c>
      <c r="C64" t="s">
        <v>660</v>
      </c>
      <c r="D64" t="s">
        <v>193</v>
      </c>
      <c r="E64" t="s">
        <v>661</v>
      </c>
      <c r="F64" t="b">
        <f t="shared" si="2"/>
        <v>1</v>
      </c>
      <c r="G64">
        <f t="shared" si="3"/>
        <v>2914375</v>
      </c>
    </row>
    <row r="65" spans="1:7" x14ac:dyDescent="0.35">
      <c r="A65" t="s">
        <v>271</v>
      </c>
      <c r="B65" t="s">
        <v>272</v>
      </c>
      <c r="C65" t="s">
        <v>724</v>
      </c>
      <c r="D65" t="s">
        <v>273</v>
      </c>
      <c r="E65" t="s">
        <v>725</v>
      </c>
      <c r="F65" t="b">
        <f t="shared" si="2"/>
        <v>1</v>
      </c>
      <c r="G65">
        <f t="shared" si="3"/>
        <v>2771456</v>
      </c>
    </row>
    <row r="66" spans="1:7" hidden="1" x14ac:dyDescent="0.35">
      <c r="A66" t="s">
        <v>186</v>
      </c>
      <c r="B66" t="s">
        <v>187</v>
      </c>
      <c r="C66" t="s">
        <v>656</v>
      </c>
      <c r="D66" t="s">
        <v>14</v>
      </c>
      <c r="E66" t="s">
        <v>657</v>
      </c>
      <c r="F66" t="b">
        <f t="shared" ref="F66:F97" si="4">OR(LEFT(A66,1)="A",LEFT(A66,1)="E",LEFT(A66,1)="I",LEFT(A66,1)="O",LEFT(A66,1)="U",LEFT(A66,1)="B",LEFT(A66,1)="C",LEFT(A66,1)="D")</f>
        <v>0</v>
      </c>
      <c r="G66">
        <f t="shared" si="3"/>
        <v>260802</v>
      </c>
    </row>
    <row r="67" spans="1:7" x14ac:dyDescent="0.35">
      <c r="A67" t="s">
        <v>248</v>
      </c>
      <c r="B67" t="s">
        <v>249</v>
      </c>
      <c r="C67" t="s">
        <v>704</v>
      </c>
      <c r="D67" t="s">
        <v>250</v>
      </c>
      <c r="E67" t="s">
        <v>705</v>
      </c>
      <c r="F67" t="b">
        <f t="shared" si="4"/>
        <v>1</v>
      </c>
      <c r="G67">
        <f t="shared" si="3"/>
        <v>2760725</v>
      </c>
    </row>
    <row r="68" spans="1:7" x14ac:dyDescent="0.35">
      <c r="A68" t="s">
        <v>345</v>
      </c>
      <c r="B68" t="s">
        <v>346</v>
      </c>
      <c r="C68" t="s">
        <v>784</v>
      </c>
      <c r="D68" t="s">
        <v>347</v>
      </c>
      <c r="E68" t="s">
        <v>785</v>
      </c>
      <c r="F68" t="b">
        <f t="shared" si="4"/>
        <v>1</v>
      </c>
      <c r="G68">
        <f t="shared" ref="G68:G99" si="5">VALUE(SUBSTITUTE(SUBSTITUTE(E68,"$",""),",",""))</f>
        <v>2431321</v>
      </c>
    </row>
    <row r="69" spans="1:7" hidden="1" x14ac:dyDescent="0.35">
      <c r="A69" t="s">
        <v>194</v>
      </c>
      <c r="B69" t="s">
        <v>195</v>
      </c>
      <c r="C69" t="s">
        <v>662</v>
      </c>
      <c r="D69" t="s">
        <v>196</v>
      </c>
      <c r="E69" t="s">
        <v>663</v>
      </c>
      <c r="F69" t="b">
        <f t="shared" si="4"/>
        <v>0</v>
      </c>
      <c r="G69">
        <f t="shared" si="5"/>
        <v>252063</v>
      </c>
    </row>
    <row r="70" spans="1:7" hidden="1" x14ac:dyDescent="0.35">
      <c r="A70" t="s">
        <v>197</v>
      </c>
      <c r="B70" t="s">
        <v>198</v>
      </c>
      <c r="C70" t="s">
        <v>664</v>
      </c>
      <c r="D70" t="s">
        <v>93</v>
      </c>
      <c r="E70" t="s">
        <v>665</v>
      </c>
      <c r="F70" t="b">
        <f t="shared" si="4"/>
        <v>0</v>
      </c>
      <c r="G70">
        <f t="shared" si="5"/>
        <v>3564164</v>
      </c>
    </row>
    <row r="71" spans="1:7" hidden="1" x14ac:dyDescent="0.35">
      <c r="A71" t="s">
        <v>199</v>
      </c>
      <c r="B71" t="s">
        <v>200</v>
      </c>
      <c r="C71" t="s">
        <v>666</v>
      </c>
      <c r="D71" t="s">
        <v>121</v>
      </c>
      <c r="E71" t="s">
        <v>667</v>
      </c>
      <c r="F71" t="b">
        <f t="shared" si="4"/>
        <v>0</v>
      </c>
      <c r="G71">
        <f t="shared" si="5"/>
        <v>8693511</v>
      </c>
    </row>
    <row r="72" spans="1:7" hidden="1" x14ac:dyDescent="0.35">
      <c r="A72" t="s">
        <v>201</v>
      </c>
      <c r="B72" t="s">
        <v>202</v>
      </c>
      <c r="C72" t="s">
        <v>668</v>
      </c>
      <c r="D72" t="s">
        <v>203</v>
      </c>
      <c r="E72" t="s">
        <v>669</v>
      </c>
      <c r="F72" t="b">
        <f t="shared" si="4"/>
        <v>0</v>
      </c>
      <c r="G72">
        <f t="shared" si="5"/>
        <v>254347</v>
      </c>
    </row>
    <row r="73" spans="1:7" hidden="1" x14ac:dyDescent="0.35">
      <c r="A73" t="s">
        <v>204</v>
      </c>
      <c r="B73" t="s">
        <v>205</v>
      </c>
      <c r="C73" t="s">
        <v>670</v>
      </c>
      <c r="D73" t="s">
        <v>206</v>
      </c>
      <c r="E73" t="s">
        <v>671</v>
      </c>
      <c r="F73" t="b">
        <f t="shared" si="4"/>
        <v>0</v>
      </c>
      <c r="G73">
        <f t="shared" si="5"/>
        <v>2161326</v>
      </c>
    </row>
    <row r="74" spans="1:7" hidden="1" x14ac:dyDescent="0.35">
      <c r="A74" t="s">
        <v>207</v>
      </c>
      <c r="B74" t="s">
        <v>208</v>
      </c>
      <c r="C74" t="s">
        <v>672</v>
      </c>
      <c r="D74" t="s">
        <v>11</v>
      </c>
      <c r="E74" t="s">
        <v>673</v>
      </c>
      <c r="F74" t="b">
        <f t="shared" si="4"/>
        <v>0</v>
      </c>
      <c r="G74">
        <f t="shared" si="5"/>
        <v>33236555</v>
      </c>
    </row>
    <row r="75" spans="1:7" hidden="1" x14ac:dyDescent="0.35">
      <c r="A75" t="s">
        <v>209</v>
      </c>
      <c r="B75" t="s">
        <v>210</v>
      </c>
      <c r="C75" t="s">
        <v>674</v>
      </c>
      <c r="D75" t="s">
        <v>211</v>
      </c>
      <c r="E75" t="s">
        <v>675</v>
      </c>
      <c r="F75" t="b">
        <f t="shared" si="4"/>
        <v>0</v>
      </c>
      <c r="G75">
        <f t="shared" si="5"/>
        <v>5485485</v>
      </c>
    </row>
    <row r="76" spans="1:7" hidden="1" x14ac:dyDescent="0.35">
      <c r="A76" t="s">
        <v>212</v>
      </c>
      <c r="B76" t="s">
        <v>213</v>
      </c>
      <c r="C76" t="s">
        <v>676</v>
      </c>
      <c r="D76" t="s">
        <v>29</v>
      </c>
      <c r="E76" t="s">
        <v>677</v>
      </c>
      <c r="F76" t="b">
        <f t="shared" si="4"/>
        <v>0</v>
      </c>
      <c r="G76">
        <f t="shared" si="5"/>
        <v>4157460</v>
      </c>
    </row>
    <row r="77" spans="1:7" hidden="1" x14ac:dyDescent="0.35">
      <c r="A77" t="s">
        <v>214</v>
      </c>
      <c r="B77" t="s">
        <v>215</v>
      </c>
      <c r="C77" t="s">
        <v>678</v>
      </c>
      <c r="D77" t="s">
        <v>216</v>
      </c>
      <c r="E77" t="s">
        <v>679</v>
      </c>
      <c r="F77" t="b">
        <f t="shared" si="4"/>
        <v>0</v>
      </c>
      <c r="G77">
        <f t="shared" si="5"/>
        <v>3148017</v>
      </c>
    </row>
    <row r="78" spans="1:7" x14ac:dyDescent="0.35">
      <c r="A78" t="s">
        <v>76</v>
      </c>
      <c r="B78" t="s">
        <v>77</v>
      </c>
      <c r="C78" t="s">
        <v>578</v>
      </c>
      <c r="D78" t="s">
        <v>23</v>
      </c>
      <c r="E78" t="s">
        <v>579</v>
      </c>
      <c r="F78" t="b">
        <f t="shared" si="4"/>
        <v>1</v>
      </c>
      <c r="G78">
        <f t="shared" si="5"/>
        <v>2293702</v>
      </c>
    </row>
    <row r="79" spans="1:7" x14ac:dyDescent="0.35">
      <c r="A79" t="s">
        <v>220</v>
      </c>
      <c r="B79" t="s">
        <v>221</v>
      </c>
      <c r="C79" t="s">
        <v>682</v>
      </c>
      <c r="D79" t="s">
        <v>222</v>
      </c>
      <c r="E79" t="s">
        <v>683</v>
      </c>
      <c r="F79" t="b">
        <f t="shared" si="4"/>
        <v>1</v>
      </c>
      <c r="G79">
        <f t="shared" si="5"/>
        <v>2231412</v>
      </c>
    </row>
    <row r="80" spans="1:7" x14ac:dyDescent="0.35">
      <c r="A80" t="s">
        <v>269</v>
      </c>
      <c r="B80" t="s">
        <v>270</v>
      </c>
      <c r="C80" t="s">
        <v>722</v>
      </c>
      <c r="D80" t="s">
        <v>163</v>
      </c>
      <c r="E80" t="s">
        <v>723</v>
      </c>
      <c r="F80" t="b">
        <f t="shared" si="4"/>
        <v>1</v>
      </c>
      <c r="G80">
        <f t="shared" si="5"/>
        <v>1739142</v>
      </c>
    </row>
    <row r="81" spans="1:7" hidden="1" x14ac:dyDescent="0.35">
      <c r="A81" t="s">
        <v>225</v>
      </c>
      <c r="B81" t="s">
        <v>226</v>
      </c>
      <c r="C81" t="s">
        <v>686</v>
      </c>
      <c r="D81" t="s">
        <v>227</v>
      </c>
      <c r="E81" t="s">
        <v>687</v>
      </c>
      <c r="F81" t="b">
        <f t="shared" si="4"/>
        <v>0</v>
      </c>
      <c r="G81">
        <f t="shared" si="5"/>
        <v>5290020</v>
      </c>
    </row>
    <row r="82" spans="1:7" hidden="1" x14ac:dyDescent="0.35">
      <c r="A82" t="s">
        <v>228</v>
      </c>
      <c r="B82" t="s">
        <v>229</v>
      </c>
      <c r="C82" t="s">
        <v>688</v>
      </c>
      <c r="D82" t="s">
        <v>230</v>
      </c>
      <c r="E82" t="s">
        <v>689</v>
      </c>
      <c r="F82" t="b">
        <f t="shared" si="4"/>
        <v>0</v>
      </c>
      <c r="G82">
        <f t="shared" si="5"/>
        <v>2554402</v>
      </c>
    </row>
    <row r="83" spans="1:7" hidden="1" x14ac:dyDescent="0.35">
      <c r="A83" t="s">
        <v>231</v>
      </c>
      <c r="B83" t="s">
        <v>232</v>
      </c>
      <c r="C83" t="s">
        <v>690</v>
      </c>
      <c r="D83" t="s">
        <v>233</v>
      </c>
      <c r="E83" t="s">
        <v>691</v>
      </c>
      <c r="F83" t="b">
        <f t="shared" si="4"/>
        <v>0</v>
      </c>
      <c r="G83">
        <f t="shared" si="5"/>
        <v>174082</v>
      </c>
    </row>
    <row r="84" spans="1:7" hidden="1" x14ac:dyDescent="0.35">
      <c r="A84" t="s">
        <v>234</v>
      </c>
      <c r="B84" t="s">
        <v>235</v>
      </c>
      <c r="C84" t="s">
        <v>692</v>
      </c>
      <c r="D84" t="s">
        <v>145</v>
      </c>
      <c r="E84" t="s">
        <v>693</v>
      </c>
      <c r="F84" t="b">
        <f t="shared" si="4"/>
        <v>0</v>
      </c>
      <c r="G84">
        <f t="shared" si="5"/>
        <v>362962</v>
      </c>
    </row>
    <row r="85" spans="1:7" x14ac:dyDescent="0.35">
      <c r="A85" t="s">
        <v>297</v>
      </c>
      <c r="B85" t="s">
        <v>298</v>
      </c>
      <c r="C85" t="s">
        <v>744</v>
      </c>
      <c r="D85" t="s">
        <v>230</v>
      </c>
      <c r="E85" t="s">
        <v>745</v>
      </c>
      <c r="F85" t="b">
        <f t="shared" si="4"/>
        <v>1</v>
      </c>
      <c r="G85">
        <f t="shared" si="5"/>
        <v>1737116</v>
      </c>
    </row>
    <row r="86" spans="1:7" x14ac:dyDescent="0.35">
      <c r="A86" t="s">
        <v>183</v>
      </c>
      <c r="B86" t="s">
        <v>184</v>
      </c>
      <c r="C86" t="s">
        <v>654</v>
      </c>
      <c r="D86" t="s">
        <v>185</v>
      </c>
      <c r="E86" t="s">
        <v>655</v>
      </c>
      <c r="F86" t="b">
        <f t="shared" si="4"/>
        <v>1</v>
      </c>
      <c r="G86">
        <f t="shared" si="5"/>
        <v>1669915</v>
      </c>
    </row>
    <row r="87" spans="1:7" x14ac:dyDescent="0.35">
      <c r="A87" t="s">
        <v>470</v>
      </c>
      <c r="B87" t="s">
        <v>471</v>
      </c>
      <c r="C87" t="s">
        <v>890</v>
      </c>
      <c r="D87" t="s">
        <v>393</v>
      </c>
      <c r="E87" t="s">
        <v>891</v>
      </c>
      <c r="F87" t="b">
        <f t="shared" si="4"/>
        <v>1</v>
      </c>
      <c r="G87">
        <f t="shared" si="5"/>
        <v>1660204</v>
      </c>
    </row>
    <row r="88" spans="1:7" hidden="1" x14ac:dyDescent="0.35">
      <c r="A88" t="s">
        <v>243</v>
      </c>
      <c r="B88" t="s">
        <v>244</v>
      </c>
      <c r="C88" t="s">
        <v>700</v>
      </c>
      <c r="D88" t="s">
        <v>245</v>
      </c>
      <c r="E88" t="s">
        <v>701</v>
      </c>
      <c r="F88" t="b">
        <f t="shared" si="4"/>
        <v>0</v>
      </c>
      <c r="G88">
        <f t="shared" si="5"/>
        <v>2452497</v>
      </c>
    </row>
    <row r="89" spans="1:7" hidden="1" x14ac:dyDescent="0.35">
      <c r="A89" t="s">
        <v>246</v>
      </c>
      <c r="B89" t="s">
        <v>247</v>
      </c>
      <c r="C89" t="s">
        <v>702</v>
      </c>
      <c r="D89" t="s">
        <v>16</v>
      </c>
      <c r="E89" t="s">
        <v>703</v>
      </c>
      <c r="F89" t="b">
        <f t="shared" si="4"/>
        <v>0</v>
      </c>
      <c r="G89">
        <f t="shared" si="5"/>
        <v>45</v>
      </c>
    </row>
    <row r="90" spans="1:7" x14ac:dyDescent="0.35">
      <c r="A90" t="s">
        <v>267</v>
      </c>
      <c r="B90" t="s">
        <v>268</v>
      </c>
      <c r="C90" t="s">
        <v>720</v>
      </c>
      <c r="D90" t="s">
        <v>70</v>
      </c>
      <c r="E90" t="s">
        <v>721</v>
      </c>
      <c r="F90" t="b">
        <f t="shared" si="4"/>
        <v>1</v>
      </c>
      <c r="G90">
        <f t="shared" si="5"/>
        <v>1639272</v>
      </c>
    </row>
    <row r="91" spans="1:7" x14ac:dyDescent="0.35">
      <c r="A91" t="s">
        <v>164</v>
      </c>
      <c r="B91" t="s">
        <v>165</v>
      </c>
      <c r="C91" t="s">
        <v>640</v>
      </c>
      <c r="D91" t="s">
        <v>166</v>
      </c>
      <c r="E91" t="s">
        <v>641</v>
      </c>
      <c r="F91" t="b">
        <f t="shared" si="4"/>
        <v>1</v>
      </c>
      <c r="G91">
        <f t="shared" si="5"/>
        <v>1414981</v>
      </c>
    </row>
    <row r="92" spans="1:7" hidden="1" x14ac:dyDescent="0.35">
      <c r="A92" t="s">
        <v>253</v>
      </c>
      <c r="B92" t="s">
        <v>254</v>
      </c>
      <c r="C92" t="s">
        <v>708</v>
      </c>
      <c r="D92" t="s">
        <v>32</v>
      </c>
      <c r="E92" t="s">
        <v>709</v>
      </c>
      <c r="F92" t="b">
        <f t="shared" si="4"/>
        <v>0</v>
      </c>
      <c r="G92">
        <f t="shared" si="5"/>
        <v>4797522</v>
      </c>
    </row>
    <row r="93" spans="1:7" hidden="1" x14ac:dyDescent="0.35">
      <c r="A93" t="s">
        <v>255</v>
      </c>
      <c r="B93" t="s">
        <v>256</v>
      </c>
      <c r="C93" t="s">
        <v>710</v>
      </c>
      <c r="D93" t="s">
        <v>257</v>
      </c>
      <c r="E93" t="s">
        <v>711</v>
      </c>
      <c r="F93" t="b">
        <f t="shared" si="4"/>
        <v>0</v>
      </c>
      <c r="G93">
        <f t="shared" si="5"/>
        <v>884405</v>
      </c>
    </row>
    <row r="94" spans="1:7" x14ac:dyDescent="0.35">
      <c r="A94" t="s">
        <v>294</v>
      </c>
      <c r="B94" t="s">
        <v>295</v>
      </c>
      <c r="C94" t="s">
        <v>742</v>
      </c>
      <c r="D94" t="s">
        <v>296</v>
      </c>
      <c r="E94" t="s">
        <v>743</v>
      </c>
      <c r="F94" t="b">
        <f t="shared" si="4"/>
        <v>1</v>
      </c>
      <c r="G94">
        <f t="shared" si="5"/>
        <v>1407422</v>
      </c>
    </row>
    <row r="95" spans="1:7" x14ac:dyDescent="0.35">
      <c r="A95" t="s">
        <v>128</v>
      </c>
      <c r="B95" t="s">
        <v>129</v>
      </c>
      <c r="C95" t="s">
        <v>616</v>
      </c>
      <c r="D95" t="s">
        <v>130</v>
      </c>
      <c r="E95" t="s">
        <v>617</v>
      </c>
      <c r="F95" t="b">
        <f t="shared" si="4"/>
        <v>1</v>
      </c>
      <c r="G95">
        <f t="shared" si="5"/>
        <v>1356568</v>
      </c>
    </row>
    <row r="96" spans="1:7" x14ac:dyDescent="0.35">
      <c r="A96" t="s">
        <v>490</v>
      </c>
      <c r="B96" t="s">
        <v>491</v>
      </c>
      <c r="C96" t="s">
        <v>908</v>
      </c>
      <c r="D96" t="s">
        <v>492</v>
      </c>
      <c r="E96" t="s">
        <v>909</v>
      </c>
      <c r="F96" t="b">
        <f t="shared" si="4"/>
        <v>1</v>
      </c>
      <c r="G96">
        <f t="shared" si="5"/>
        <v>1332029</v>
      </c>
    </row>
    <row r="97" spans="1:7" hidden="1" x14ac:dyDescent="0.35">
      <c r="A97" t="s">
        <v>265</v>
      </c>
      <c r="B97" t="s">
        <v>266</v>
      </c>
      <c r="C97" t="s">
        <v>718</v>
      </c>
      <c r="D97" t="s">
        <v>154</v>
      </c>
      <c r="E97" t="s">
        <v>719</v>
      </c>
      <c r="F97" t="b">
        <f t="shared" si="4"/>
        <v>0</v>
      </c>
      <c r="G97">
        <f t="shared" si="5"/>
        <v>3216530</v>
      </c>
    </row>
    <row r="98" spans="1:7" x14ac:dyDescent="0.35">
      <c r="A98" t="s">
        <v>312</v>
      </c>
      <c r="B98" t="s">
        <v>28</v>
      </c>
      <c r="C98" t="s">
        <v>756</v>
      </c>
      <c r="D98" t="s">
        <v>313</v>
      </c>
      <c r="E98" t="s">
        <v>757</v>
      </c>
      <c r="F98" t="b">
        <f t="shared" ref="F98:F129" si="6">OR(LEFT(A98,1)="A",LEFT(A98,1)="E",LEFT(A98,1)="I",LEFT(A98,1)="O",LEFT(A98,1)="U",LEFT(A98,1)="B",LEFT(A98,1)="C",LEFT(A98,1)="D")</f>
        <v>1</v>
      </c>
      <c r="G98">
        <f t="shared" si="5"/>
        <v>1315522</v>
      </c>
    </row>
    <row r="99" spans="1:7" x14ac:dyDescent="0.35">
      <c r="A99" t="s">
        <v>108</v>
      </c>
      <c r="B99" t="s">
        <v>109</v>
      </c>
      <c r="C99" t="s">
        <v>602</v>
      </c>
      <c r="D99" t="s">
        <v>110</v>
      </c>
      <c r="E99" t="s">
        <v>603</v>
      </c>
      <c r="F99" t="b">
        <f t="shared" si="6"/>
        <v>1</v>
      </c>
      <c r="G99">
        <f t="shared" si="5"/>
        <v>1068402</v>
      </c>
    </row>
    <row r="100" spans="1:7" x14ac:dyDescent="0.35">
      <c r="A100" t="s">
        <v>239</v>
      </c>
      <c r="B100" t="s">
        <v>240</v>
      </c>
      <c r="C100" t="s">
        <v>696</v>
      </c>
      <c r="D100" t="s">
        <v>62</v>
      </c>
      <c r="E100" t="s">
        <v>697</v>
      </c>
      <c r="F100" t="b">
        <f t="shared" si="6"/>
        <v>1</v>
      </c>
      <c r="G100">
        <f t="shared" ref="G100:G131" si="7">VALUE(SUBSTITUTE(SUBSTITUTE(E100,"$",""),",",""))</f>
        <v>999710</v>
      </c>
    </row>
    <row r="101" spans="1:7" hidden="1" x14ac:dyDescent="0.35">
      <c r="A101" t="s">
        <v>274</v>
      </c>
      <c r="B101" t="s">
        <v>275</v>
      </c>
      <c r="C101" t="s">
        <v>726</v>
      </c>
      <c r="D101" t="s">
        <v>276</v>
      </c>
      <c r="E101" t="s">
        <v>727</v>
      </c>
      <c r="F101" t="b">
        <f t="shared" si="6"/>
        <v>0</v>
      </c>
      <c r="G101">
        <f t="shared" si="7"/>
        <v>128760</v>
      </c>
    </row>
    <row r="102" spans="1:7" x14ac:dyDescent="0.35">
      <c r="A102" t="s">
        <v>350</v>
      </c>
      <c r="B102" t="s">
        <v>351</v>
      </c>
      <c r="C102" t="s">
        <v>788</v>
      </c>
      <c r="D102" t="s">
        <v>293</v>
      </c>
      <c r="E102" t="s">
        <v>789</v>
      </c>
      <c r="F102" t="b">
        <f t="shared" si="6"/>
        <v>1</v>
      </c>
      <c r="G102">
        <f t="shared" si="7"/>
        <v>955799</v>
      </c>
    </row>
    <row r="103" spans="1:7" x14ac:dyDescent="0.35">
      <c r="A103" t="s">
        <v>188</v>
      </c>
      <c r="B103" t="s">
        <v>189</v>
      </c>
      <c r="C103" t="s">
        <v>658</v>
      </c>
      <c r="D103" t="s">
        <v>190</v>
      </c>
      <c r="E103" t="s">
        <v>659</v>
      </c>
      <c r="F103" t="b">
        <f t="shared" si="6"/>
        <v>1</v>
      </c>
      <c r="G103">
        <f t="shared" si="7"/>
        <v>867656</v>
      </c>
    </row>
    <row r="104" spans="1:7" hidden="1" x14ac:dyDescent="0.35">
      <c r="A104" t="s">
        <v>281</v>
      </c>
      <c r="B104" t="s">
        <v>282</v>
      </c>
      <c r="C104" t="s">
        <v>732</v>
      </c>
      <c r="D104" t="s">
        <v>283</v>
      </c>
      <c r="E104" t="s">
        <v>733</v>
      </c>
      <c r="F104" t="b">
        <f t="shared" si="6"/>
        <v>0</v>
      </c>
      <c r="G104">
        <f t="shared" si="7"/>
        <v>4772</v>
      </c>
    </row>
    <row r="105" spans="1:7" x14ac:dyDescent="0.35">
      <c r="A105" t="s">
        <v>455</v>
      </c>
      <c r="B105" t="s">
        <v>456</v>
      </c>
      <c r="C105" t="s">
        <v>878</v>
      </c>
      <c r="D105" t="s">
        <v>457</v>
      </c>
      <c r="E105" t="s">
        <v>879</v>
      </c>
      <c r="F105" t="b">
        <f t="shared" si="6"/>
        <v>1</v>
      </c>
      <c r="G105">
        <f t="shared" si="7"/>
        <v>858809</v>
      </c>
    </row>
    <row r="106" spans="1:7" hidden="1" x14ac:dyDescent="0.35">
      <c r="A106" t="s">
        <v>287</v>
      </c>
      <c r="B106" t="s">
        <v>288</v>
      </c>
      <c r="C106" t="s">
        <v>736</v>
      </c>
      <c r="D106" t="s">
        <v>23</v>
      </c>
      <c r="E106" t="s">
        <v>737</v>
      </c>
      <c r="F106" t="b">
        <f t="shared" si="6"/>
        <v>0</v>
      </c>
      <c r="G106">
        <f t="shared" si="7"/>
        <v>2332177</v>
      </c>
    </row>
    <row r="107" spans="1:7" hidden="1" x14ac:dyDescent="0.35">
      <c r="A107" t="s">
        <v>289</v>
      </c>
      <c r="B107" t="s">
        <v>290</v>
      </c>
      <c r="C107" t="s">
        <v>738</v>
      </c>
      <c r="D107" t="s">
        <v>190</v>
      </c>
      <c r="E107" t="s">
        <v>739</v>
      </c>
      <c r="F107" t="b">
        <f t="shared" si="6"/>
        <v>0</v>
      </c>
      <c r="G107">
        <f t="shared" si="7"/>
        <v>2707699</v>
      </c>
    </row>
    <row r="108" spans="1:7" hidden="1" x14ac:dyDescent="0.35">
      <c r="A108" t="s">
        <v>291</v>
      </c>
      <c r="B108" t="s">
        <v>292</v>
      </c>
      <c r="C108" t="s">
        <v>740</v>
      </c>
      <c r="D108" t="s">
        <v>293</v>
      </c>
      <c r="E108" t="s">
        <v>741</v>
      </c>
      <c r="F108" t="b">
        <f t="shared" si="6"/>
        <v>0</v>
      </c>
      <c r="G108">
        <f t="shared" si="7"/>
        <v>708276</v>
      </c>
    </row>
    <row r="109" spans="1:7" x14ac:dyDescent="0.35">
      <c r="A109" t="s">
        <v>152</v>
      </c>
      <c r="B109" t="s">
        <v>153</v>
      </c>
      <c r="C109" t="s">
        <v>632</v>
      </c>
      <c r="D109" t="s">
        <v>154</v>
      </c>
      <c r="E109" t="s">
        <v>633</v>
      </c>
      <c r="F109" t="b">
        <f t="shared" si="6"/>
        <v>1</v>
      </c>
      <c r="G109">
        <f t="shared" si="7"/>
        <v>817224</v>
      </c>
    </row>
    <row r="110" spans="1:7" x14ac:dyDescent="0.35">
      <c r="A110" t="s">
        <v>362</v>
      </c>
      <c r="B110" t="s">
        <v>363</v>
      </c>
      <c r="C110" t="s">
        <v>798</v>
      </c>
      <c r="D110" t="s">
        <v>70</v>
      </c>
      <c r="E110" t="s">
        <v>799</v>
      </c>
      <c r="F110" t="b">
        <f t="shared" si="6"/>
        <v>1</v>
      </c>
      <c r="G110">
        <f t="shared" si="7"/>
        <v>697351</v>
      </c>
    </row>
    <row r="111" spans="1:7" x14ac:dyDescent="0.35">
      <c r="A111" t="s">
        <v>284</v>
      </c>
      <c r="B111" t="s">
        <v>285</v>
      </c>
      <c r="C111" t="s">
        <v>734</v>
      </c>
      <c r="D111" t="s">
        <v>286</v>
      </c>
      <c r="E111" t="s">
        <v>735</v>
      </c>
      <c r="F111" t="b">
        <f t="shared" si="6"/>
        <v>1</v>
      </c>
      <c r="G111">
        <f t="shared" si="7"/>
        <v>680959</v>
      </c>
    </row>
    <row r="112" spans="1:7" hidden="1" x14ac:dyDescent="0.35">
      <c r="A112" t="s">
        <v>302</v>
      </c>
      <c r="B112" t="s">
        <v>303</v>
      </c>
      <c r="C112" t="s">
        <v>748</v>
      </c>
      <c r="D112" t="s">
        <v>185</v>
      </c>
      <c r="E112" t="s">
        <v>749</v>
      </c>
      <c r="F112" t="b">
        <f t="shared" si="6"/>
        <v>0</v>
      </c>
      <c r="G112">
        <f t="shared" si="7"/>
        <v>202163</v>
      </c>
    </row>
    <row r="113" spans="1:7" x14ac:dyDescent="0.35">
      <c r="A113" t="s">
        <v>277</v>
      </c>
      <c r="B113" t="s">
        <v>278</v>
      </c>
      <c r="C113" t="s">
        <v>728</v>
      </c>
      <c r="D113" t="s">
        <v>179</v>
      </c>
      <c r="E113" t="s">
        <v>729</v>
      </c>
      <c r="F113" t="b">
        <f t="shared" si="6"/>
        <v>1</v>
      </c>
      <c r="G113">
        <f t="shared" si="7"/>
        <v>654812</v>
      </c>
    </row>
    <row r="114" spans="1:7" hidden="1" x14ac:dyDescent="0.35">
      <c r="A114" t="s">
        <v>306</v>
      </c>
      <c r="B114" t="s">
        <v>307</v>
      </c>
      <c r="C114" t="s">
        <v>752</v>
      </c>
      <c r="D114" t="s">
        <v>308</v>
      </c>
      <c r="E114" t="s">
        <v>753</v>
      </c>
      <c r="F114" t="b">
        <f t="shared" si="6"/>
        <v>0</v>
      </c>
      <c r="G114">
        <f t="shared" si="7"/>
        <v>7687892</v>
      </c>
    </row>
    <row r="115" spans="1:7" hidden="1" x14ac:dyDescent="0.35">
      <c r="A115" t="s">
        <v>309</v>
      </c>
      <c r="B115" t="s">
        <v>310</v>
      </c>
      <c r="C115" t="s">
        <v>754</v>
      </c>
      <c r="D115" t="s">
        <v>311</v>
      </c>
      <c r="E115" t="s">
        <v>755</v>
      </c>
      <c r="F115" t="b">
        <f t="shared" si="6"/>
        <v>0</v>
      </c>
      <c r="G115">
        <f t="shared" si="7"/>
        <v>75137</v>
      </c>
    </row>
    <row r="116" spans="1:7" x14ac:dyDescent="0.35">
      <c r="A116" t="s">
        <v>299</v>
      </c>
      <c r="B116" t="s">
        <v>300</v>
      </c>
      <c r="C116" t="s">
        <v>746</v>
      </c>
      <c r="D116" t="s">
        <v>301</v>
      </c>
      <c r="E116" t="s">
        <v>747</v>
      </c>
      <c r="F116" t="b">
        <f t="shared" si="6"/>
        <v>1</v>
      </c>
      <c r="G116">
        <f t="shared" si="7"/>
        <v>525209</v>
      </c>
    </row>
    <row r="117" spans="1:7" hidden="1" x14ac:dyDescent="0.35">
      <c r="A117" t="s">
        <v>314</v>
      </c>
      <c r="B117" t="s">
        <v>315</v>
      </c>
      <c r="C117" t="s">
        <v>758</v>
      </c>
      <c r="D117" t="s">
        <v>227</v>
      </c>
      <c r="E117" t="s">
        <v>759</v>
      </c>
      <c r="F117" t="b">
        <f t="shared" si="6"/>
        <v>0</v>
      </c>
      <c r="G117">
        <f t="shared" si="7"/>
        <v>8504736</v>
      </c>
    </row>
    <row r="118" spans="1:7" x14ac:dyDescent="0.35">
      <c r="A118" t="s">
        <v>119</v>
      </c>
      <c r="B118" t="s">
        <v>120</v>
      </c>
      <c r="C118" t="s">
        <v>610</v>
      </c>
      <c r="D118" t="s">
        <v>121</v>
      </c>
      <c r="E118" t="s">
        <v>611</v>
      </c>
      <c r="F118" t="b">
        <f t="shared" si="6"/>
        <v>1</v>
      </c>
      <c r="G118">
        <f t="shared" si="7"/>
        <v>522812</v>
      </c>
    </row>
    <row r="119" spans="1:7" x14ac:dyDescent="0.35">
      <c r="A119" t="s">
        <v>495</v>
      </c>
      <c r="B119" t="s">
        <v>496</v>
      </c>
      <c r="C119" t="s">
        <v>912</v>
      </c>
      <c r="D119" t="s">
        <v>80</v>
      </c>
      <c r="E119" t="s">
        <v>913</v>
      </c>
      <c r="F119" t="b">
        <f t="shared" si="6"/>
        <v>1</v>
      </c>
      <c r="G119">
        <f t="shared" si="7"/>
        <v>395470</v>
      </c>
    </row>
    <row r="120" spans="1:7" hidden="1" x14ac:dyDescent="0.35">
      <c r="A120" t="s">
        <v>321</v>
      </c>
      <c r="B120" t="s">
        <v>322</v>
      </c>
      <c r="C120" t="s">
        <v>764</v>
      </c>
      <c r="D120" t="s">
        <v>323</v>
      </c>
      <c r="E120" t="s">
        <v>765</v>
      </c>
      <c r="F120" t="b">
        <f t="shared" si="6"/>
        <v>0</v>
      </c>
      <c r="G120">
        <f t="shared" si="7"/>
        <v>1959456</v>
      </c>
    </row>
    <row r="121" spans="1:7" hidden="1" x14ac:dyDescent="0.35">
      <c r="A121" t="s">
        <v>324</v>
      </c>
      <c r="B121" t="s">
        <v>325</v>
      </c>
      <c r="C121" t="s">
        <v>766</v>
      </c>
      <c r="D121" t="s">
        <v>326</v>
      </c>
      <c r="E121" t="s">
        <v>767</v>
      </c>
      <c r="F121" t="b">
        <f t="shared" si="6"/>
        <v>0</v>
      </c>
      <c r="G121">
        <f t="shared" si="7"/>
        <v>196385</v>
      </c>
    </row>
    <row r="122" spans="1:7" hidden="1" x14ac:dyDescent="0.35">
      <c r="A122" t="s">
        <v>327</v>
      </c>
      <c r="B122" t="s">
        <v>328</v>
      </c>
      <c r="C122" t="s">
        <v>768</v>
      </c>
      <c r="D122" t="s">
        <v>67</v>
      </c>
      <c r="E122" t="s">
        <v>751</v>
      </c>
      <c r="F122" t="b">
        <f t="shared" si="6"/>
        <v>0</v>
      </c>
      <c r="G122" t="e">
        <f t="shared" si="7"/>
        <v>#VALUE!</v>
      </c>
    </row>
    <row r="123" spans="1:7" hidden="1" x14ac:dyDescent="0.35">
      <c r="A123" t="s">
        <v>329</v>
      </c>
      <c r="B123" t="s">
        <v>329</v>
      </c>
      <c r="C123" t="s">
        <v>769</v>
      </c>
      <c r="D123" t="s">
        <v>133</v>
      </c>
      <c r="E123" t="s">
        <v>770</v>
      </c>
      <c r="F123" t="b">
        <f t="shared" si="6"/>
        <v>0</v>
      </c>
      <c r="G123">
        <f t="shared" si="7"/>
        <v>3410421</v>
      </c>
    </row>
    <row r="124" spans="1:7" x14ac:dyDescent="0.35">
      <c r="A124" t="s">
        <v>319</v>
      </c>
      <c r="B124" t="s">
        <v>320</v>
      </c>
      <c r="C124" t="s">
        <v>762</v>
      </c>
      <c r="D124" t="s">
        <v>67</v>
      </c>
      <c r="E124" t="s">
        <v>763</v>
      </c>
      <c r="F124" t="b">
        <f t="shared" si="6"/>
        <v>1</v>
      </c>
      <c r="G124">
        <f t="shared" si="7"/>
        <v>351905</v>
      </c>
    </row>
    <row r="125" spans="1:7" hidden="1" x14ac:dyDescent="0.35">
      <c r="A125" t="s">
        <v>332</v>
      </c>
      <c r="B125" t="s">
        <v>333</v>
      </c>
      <c r="C125" t="s">
        <v>773</v>
      </c>
      <c r="D125" t="s">
        <v>148</v>
      </c>
      <c r="E125" t="s">
        <v>774</v>
      </c>
      <c r="F125" t="b">
        <f t="shared" si="6"/>
        <v>0</v>
      </c>
      <c r="G125">
        <f t="shared" si="7"/>
        <v>166190</v>
      </c>
    </row>
    <row r="126" spans="1:7" x14ac:dyDescent="0.35">
      <c r="A126" t="s">
        <v>260</v>
      </c>
      <c r="B126" t="s">
        <v>261</v>
      </c>
      <c r="C126" t="s">
        <v>714</v>
      </c>
      <c r="D126" t="s">
        <v>23</v>
      </c>
      <c r="E126" t="s">
        <v>715</v>
      </c>
      <c r="F126" t="b">
        <f t="shared" si="6"/>
        <v>1</v>
      </c>
      <c r="G126">
        <f t="shared" si="7"/>
        <v>326498</v>
      </c>
    </row>
    <row r="127" spans="1:7" hidden="1" x14ac:dyDescent="0.35">
      <c r="A127" t="s">
        <v>336</v>
      </c>
      <c r="B127" t="s">
        <v>337</v>
      </c>
      <c r="C127" t="s">
        <v>777</v>
      </c>
      <c r="D127" t="s">
        <v>326</v>
      </c>
      <c r="E127" t="s">
        <v>778</v>
      </c>
      <c r="F127" t="b">
        <f t="shared" si="6"/>
        <v>0</v>
      </c>
      <c r="G127">
        <f t="shared" si="7"/>
        <v>2191863</v>
      </c>
    </row>
    <row r="128" spans="1:7" hidden="1" x14ac:dyDescent="0.35">
      <c r="A128" t="s">
        <v>338</v>
      </c>
      <c r="B128" t="s">
        <v>339</v>
      </c>
      <c r="C128" t="s">
        <v>779</v>
      </c>
      <c r="D128" t="s">
        <v>340</v>
      </c>
      <c r="E128" t="s">
        <v>780</v>
      </c>
      <c r="F128" t="b">
        <f t="shared" si="6"/>
        <v>0</v>
      </c>
      <c r="G128">
        <f t="shared" si="7"/>
        <v>495661</v>
      </c>
    </row>
    <row r="129" spans="1:7" hidden="1" x14ac:dyDescent="0.35">
      <c r="A129" t="s">
        <v>341</v>
      </c>
      <c r="B129" t="s">
        <v>342</v>
      </c>
      <c r="C129" t="s">
        <v>781</v>
      </c>
      <c r="D129" t="s">
        <v>80</v>
      </c>
      <c r="E129" t="s">
        <v>751</v>
      </c>
      <c r="F129" t="b">
        <f t="shared" si="6"/>
        <v>0</v>
      </c>
      <c r="G129" t="e">
        <f t="shared" si="7"/>
        <v>#VALUE!</v>
      </c>
    </row>
    <row r="130" spans="1:7" hidden="1" x14ac:dyDescent="0.35">
      <c r="A130" t="s">
        <v>343</v>
      </c>
      <c r="B130" t="s">
        <v>344</v>
      </c>
      <c r="C130" t="s">
        <v>782</v>
      </c>
      <c r="D130" t="s">
        <v>203</v>
      </c>
      <c r="E130" t="s">
        <v>783</v>
      </c>
      <c r="F130" t="b">
        <f t="shared" ref="F130:F161" si="8">OR(LEFT(A130,1)="A",LEFT(A130,1)="E",LEFT(A130,1)="I",LEFT(A130,1)="O",LEFT(A130,1)="U",LEFT(A130,1)="B",LEFT(A130,1)="C",LEFT(A130,1)="D")</f>
        <v>0</v>
      </c>
      <c r="G130">
        <f t="shared" si="7"/>
        <v>721629</v>
      </c>
    </row>
    <row r="131" spans="1:7" x14ac:dyDescent="0.35">
      <c r="A131" t="s">
        <v>433</v>
      </c>
      <c r="B131" t="s">
        <v>434</v>
      </c>
      <c r="C131" t="s">
        <v>859</v>
      </c>
      <c r="D131" t="s">
        <v>435</v>
      </c>
      <c r="E131" t="s">
        <v>860</v>
      </c>
      <c r="F131" t="b">
        <f t="shared" si="8"/>
        <v>1</v>
      </c>
      <c r="G131">
        <f t="shared" si="7"/>
        <v>274603</v>
      </c>
    </row>
    <row r="132" spans="1:7" hidden="1" x14ac:dyDescent="0.35">
      <c r="A132" t="s">
        <v>348</v>
      </c>
      <c r="B132" t="s">
        <v>349</v>
      </c>
      <c r="C132" t="s">
        <v>786</v>
      </c>
      <c r="D132" t="s">
        <v>227</v>
      </c>
      <c r="E132" t="s">
        <v>787</v>
      </c>
      <c r="F132" t="b">
        <f t="shared" si="8"/>
        <v>0</v>
      </c>
      <c r="G132">
        <f t="shared" ref="G132:G163" si="9">VALUE(SUBSTITUTE(SUBSTITUTE(E132,"$",""),",",""))</f>
        <v>973654</v>
      </c>
    </row>
    <row r="133" spans="1:7" x14ac:dyDescent="0.35">
      <c r="A133" t="s">
        <v>236</v>
      </c>
      <c r="B133" t="s">
        <v>237</v>
      </c>
      <c r="C133" t="s">
        <v>694</v>
      </c>
      <c r="D133" t="s">
        <v>238</v>
      </c>
      <c r="E133" t="s">
        <v>695</v>
      </c>
      <c r="F133" t="b">
        <f t="shared" si="8"/>
        <v>1</v>
      </c>
      <c r="G133">
        <f t="shared" si="9"/>
        <v>268389</v>
      </c>
    </row>
    <row r="134" spans="1:7" hidden="1" x14ac:dyDescent="0.35">
      <c r="A134" t="s">
        <v>352</v>
      </c>
      <c r="B134" t="s">
        <v>353</v>
      </c>
      <c r="C134" t="s">
        <v>790</v>
      </c>
      <c r="D134" t="s">
        <v>80</v>
      </c>
      <c r="E134" t="s">
        <v>791</v>
      </c>
      <c r="F134" t="b">
        <f t="shared" si="8"/>
        <v>0</v>
      </c>
      <c r="G134">
        <f t="shared" si="9"/>
        <v>1056108</v>
      </c>
    </row>
    <row r="135" spans="1:7" x14ac:dyDescent="0.35">
      <c r="A135" t="s">
        <v>413</v>
      </c>
      <c r="B135" t="s">
        <v>414</v>
      </c>
      <c r="C135" t="s">
        <v>842</v>
      </c>
      <c r="D135" t="s">
        <v>264</v>
      </c>
      <c r="E135" t="s">
        <v>843</v>
      </c>
      <c r="F135" t="b">
        <f t="shared" si="8"/>
        <v>1</v>
      </c>
      <c r="G135">
        <f t="shared" si="9"/>
        <v>239395</v>
      </c>
    </row>
    <row r="136" spans="1:7" x14ac:dyDescent="0.35">
      <c r="A136" t="s">
        <v>316</v>
      </c>
      <c r="B136" t="s">
        <v>317</v>
      </c>
      <c r="C136" t="s">
        <v>760</v>
      </c>
      <c r="D136" t="s">
        <v>318</v>
      </c>
      <c r="E136" t="s">
        <v>761</v>
      </c>
      <c r="F136" t="b">
        <f t="shared" si="8"/>
        <v>1</v>
      </c>
      <c r="G136">
        <f t="shared" si="9"/>
        <v>232710</v>
      </c>
    </row>
    <row r="137" spans="1:7" hidden="1" x14ac:dyDescent="0.35">
      <c r="A137" t="s">
        <v>359</v>
      </c>
      <c r="B137" t="s">
        <v>360</v>
      </c>
      <c r="C137" t="s">
        <v>796</v>
      </c>
      <c r="D137" t="s">
        <v>361</v>
      </c>
      <c r="E137" t="s">
        <v>797</v>
      </c>
      <c r="F137" t="b">
        <f t="shared" si="8"/>
        <v>0</v>
      </c>
      <c r="G137">
        <f t="shared" si="9"/>
        <v>432080</v>
      </c>
    </row>
    <row r="138" spans="1:7" x14ac:dyDescent="0.35">
      <c r="A138" t="s">
        <v>372</v>
      </c>
      <c r="B138" t="s">
        <v>373</v>
      </c>
      <c r="C138" t="s">
        <v>806</v>
      </c>
      <c r="D138" t="s">
        <v>203</v>
      </c>
      <c r="E138" t="s">
        <v>807</v>
      </c>
      <c r="F138" t="b">
        <f t="shared" si="8"/>
        <v>1</v>
      </c>
      <c r="G138">
        <f t="shared" si="9"/>
        <v>193524</v>
      </c>
    </row>
    <row r="139" spans="1:7" x14ac:dyDescent="0.35">
      <c r="A139" t="s">
        <v>258</v>
      </c>
      <c r="B139" t="s">
        <v>259</v>
      </c>
      <c r="C139" t="s">
        <v>712</v>
      </c>
      <c r="D139" t="s">
        <v>145</v>
      </c>
      <c r="E139" t="s">
        <v>713</v>
      </c>
      <c r="F139" t="b">
        <f t="shared" si="8"/>
        <v>1</v>
      </c>
      <c r="G139">
        <f t="shared" si="9"/>
        <v>191600</v>
      </c>
    </row>
    <row r="140" spans="1:7" hidden="1" x14ac:dyDescent="0.35">
      <c r="A140" t="s">
        <v>367</v>
      </c>
      <c r="B140" t="s">
        <v>368</v>
      </c>
      <c r="C140" t="s">
        <v>802</v>
      </c>
      <c r="D140" t="s">
        <v>62</v>
      </c>
      <c r="E140" t="s">
        <v>803</v>
      </c>
      <c r="F140" t="b">
        <f t="shared" si="8"/>
        <v>0</v>
      </c>
      <c r="G140">
        <f t="shared" si="9"/>
        <v>392111</v>
      </c>
    </row>
    <row r="141" spans="1:7" x14ac:dyDescent="0.35">
      <c r="A141" t="s">
        <v>330</v>
      </c>
      <c r="B141" t="s">
        <v>331</v>
      </c>
      <c r="C141" t="s">
        <v>771</v>
      </c>
      <c r="D141" t="s">
        <v>185</v>
      </c>
      <c r="E141" t="s">
        <v>772</v>
      </c>
      <c r="F141" t="b">
        <f t="shared" si="8"/>
        <v>1</v>
      </c>
      <c r="G141">
        <f t="shared" si="9"/>
        <v>191443</v>
      </c>
    </row>
    <row r="142" spans="1:7" x14ac:dyDescent="0.35">
      <c r="A142" t="s">
        <v>429</v>
      </c>
      <c r="B142" t="s">
        <v>430</v>
      </c>
      <c r="C142" t="s">
        <v>855</v>
      </c>
      <c r="D142" t="s">
        <v>264</v>
      </c>
      <c r="E142" t="s">
        <v>856</v>
      </c>
      <c r="F142" t="b">
        <f t="shared" si="8"/>
        <v>1</v>
      </c>
      <c r="G142">
        <f t="shared" si="9"/>
        <v>174927</v>
      </c>
    </row>
    <row r="143" spans="1:7" hidden="1" x14ac:dyDescent="0.35">
      <c r="A143" t="s">
        <v>374</v>
      </c>
      <c r="B143" t="s">
        <v>375</v>
      </c>
      <c r="C143" t="s">
        <v>808</v>
      </c>
      <c r="D143" t="s">
        <v>376</v>
      </c>
      <c r="E143" t="s">
        <v>809</v>
      </c>
      <c r="F143" t="b">
        <f t="shared" si="8"/>
        <v>0</v>
      </c>
      <c r="G143">
        <f t="shared" si="9"/>
        <v>168650</v>
      </c>
    </row>
    <row r="144" spans="1:7" hidden="1" x14ac:dyDescent="0.35">
      <c r="A144" t="s">
        <v>377</v>
      </c>
      <c r="B144" t="s">
        <v>378</v>
      </c>
      <c r="C144" t="s">
        <v>810</v>
      </c>
      <c r="D144" t="s">
        <v>166</v>
      </c>
      <c r="E144" t="s">
        <v>811</v>
      </c>
      <c r="F144" t="b">
        <f t="shared" si="8"/>
        <v>0</v>
      </c>
      <c r="G144">
        <f t="shared" si="9"/>
        <v>4760489</v>
      </c>
    </row>
    <row r="145" spans="1:7" hidden="1" x14ac:dyDescent="0.35">
      <c r="A145" t="s">
        <v>379</v>
      </c>
      <c r="B145" t="s">
        <v>380</v>
      </c>
      <c r="C145" t="s">
        <v>812</v>
      </c>
      <c r="D145" t="s">
        <v>23</v>
      </c>
      <c r="E145" t="s">
        <v>813</v>
      </c>
      <c r="F145" t="b">
        <f t="shared" si="8"/>
        <v>0</v>
      </c>
      <c r="G145">
        <f t="shared" si="9"/>
        <v>4951893</v>
      </c>
    </row>
    <row r="146" spans="1:7" hidden="1" x14ac:dyDescent="0.35">
      <c r="A146" t="s">
        <v>381</v>
      </c>
      <c r="B146" t="s">
        <v>381</v>
      </c>
      <c r="C146" t="s">
        <v>814</v>
      </c>
      <c r="D146" t="s">
        <v>245</v>
      </c>
      <c r="E146" t="s">
        <v>815</v>
      </c>
      <c r="F146" t="b">
        <f t="shared" si="8"/>
        <v>0</v>
      </c>
      <c r="G146">
        <f t="shared" si="9"/>
        <v>727913</v>
      </c>
    </row>
    <row r="147" spans="1:7" hidden="1" x14ac:dyDescent="0.35">
      <c r="A147" t="s">
        <v>382</v>
      </c>
      <c r="B147" t="s">
        <v>383</v>
      </c>
      <c r="C147" t="s">
        <v>816</v>
      </c>
      <c r="D147" t="s">
        <v>308</v>
      </c>
      <c r="E147" t="s">
        <v>817</v>
      </c>
      <c r="F147" t="b">
        <f t="shared" si="8"/>
        <v>0</v>
      </c>
      <c r="G147">
        <f t="shared" si="9"/>
        <v>49144</v>
      </c>
    </row>
    <row r="148" spans="1:7" x14ac:dyDescent="0.35">
      <c r="A148" t="s">
        <v>396</v>
      </c>
      <c r="B148" t="s">
        <v>397</v>
      </c>
      <c r="C148" t="s">
        <v>828</v>
      </c>
      <c r="D148" t="s">
        <v>366</v>
      </c>
      <c r="E148" t="s">
        <v>829</v>
      </c>
      <c r="F148" t="b">
        <f t="shared" si="8"/>
        <v>1</v>
      </c>
      <c r="G148">
        <f t="shared" si="9"/>
        <v>157680</v>
      </c>
    </row>
    <row r="149" spans="1:7" x14ac:dyDescent="0.35">
      <c r="A149" t="s">
        <v>411</v>
      </c>
      <c r="B149" t="s">
        <v>412</v>
      </c>
      <c r="C149" t="s">
        <v>840</v>
      </c>
      <c r="D149" t="s">
        <v>139</v>
      </c>
      <c r="E149" t="s">
        <v>841</v>
      </c>
      <c r="F149" t="b">
        <f t="shared" si="8"/>
        <v>1</v>
      </c>
      <c r="G149">
        <f t="shared" si="9"/>
        <v>155287</v>
      </c>
    </row>
    <row r="150" spans="1:7" hidden="1" x14ac:dyDescent="0.35">
      <c r="A150" t="s">
        <v>389</v>
      </c>
      <c r="B150" t="s">
        <v>390</v>
      </c>
      <c r="C150" t="s">
        <v>822</v>
      </c>
      <c r="D150" t="s">
        <v>391</v>
      </c>
      <c r="E150" t="s">
        <v>823</v>
      </c>
      <c r="F150" t="b">
        <f t="shared" si="8"/>
        <v>0</v>
      </c>
      <c r="G150">
        <f t="shared" si="9"/>
        <v>5822</v>
      </c>
    </row>
    <row r="151" spans="1:7" hidden="1" x14ac:dyDescent="0.35">
      <c r="A151" t="s">
        <v>392</v>
      </c>
      <c r="B151" t="s">
        <v>392</v>
      </c>
      <c r="C151" t="s">
        <v>824</v>
      </c>
      <c r="D151" t="s">
        <v>393</v>
      </c>
      <c r="E151" t="s">
        <v>825</v>
      </c>
      <c r="F151" t="b">
        <f t="shared" si="8"/>
        <v>0</v>
      </c>
      <c r="G151">
        <f t="shared" si="9"/>
        <v>85411</v>
      </c>
    </row>
    <row r="152" spans="1:7" x14ac:dyDescent="0.35">
      <c r="A152" t="s">
        <v>354</v>
      </c>
      <c r="B152" t="s">
        <v>355</v>
      </c>
      <c r="C152" t="s">
        <v>792</v>
      </c>
      <c r="D152" t="s">
        <v>293</v>
      </c>
      <c r="E152" t="s">
        <v>793</v>
      </c>
      <c r="F152" t="b">
        <f t="shared" si="8"/>
        <v>1</v>
      </c>
      <c r="G152">
        <f t="shared" si="9"/>
        <v>153889</v>
      </c>
    </row>
    <row r="153" spans="1:7" x14ac:dyDescent="0.35">
      <c r="A153" t="s">
        <v>356</v>
      </c>
      <c r="B153" t="s">
        <v>357</v>
      </c>
      <c r="C153" t="s">
        <v>794</v>
      </c>
      <c r="D153" t="s">
        <v>358</v>
      </c>
      <c r="E153" t="s">
        <v>795</v>
      </c>
      <c r="F153" t="b">
        <f t="shared" si="8"/>
        <v>1</v>
      </c>
      <c r="G153">
        <f t="shared" si="9"/>
        <v>130770</v>
      </c>
    </row>
    <row r="154" spans="1:7" x14ac:dyDescent="0.35">
      <c r="A154" t="s">
        <v>473</v>
      </c>
      <c r="B154" t="s">
        <v>474</v>
      </c>
      <c r="C154" t="s">
        <v>894</v>
      </c>
      <c r="D154" t="s">
        <v>62</v>
      </c>
      <c r="E154" t="s">
        <v>895</v>
      </c>
      <c r="F154" t="b">
        <f t="shared" si="8"/>
        <v>1</v>
      </c>
      <c r="G154">
        <f t="shared" si="9"/>
        <v>119741</v>
      </c>
    </row>
    <row r="155" spans="1:7" x14ac:dyDescent="0.35">
      <c r="A155" t="s">
        <v>400</v>
      </c>
      <c r="B155" t="s">
        <v>401</v>
      </c>
      <c r="C155" t="s">
        <v>832</v>
      </c>
      <c r="D155" t="s">
        <v>402</v>
      </c>
      <c r="E155" t="s">
        <v>833</v>
      </c>
      <c r="F155" t="b">
        <f t="shared" si="8"/>
        <v>1</v>
      </c>
      <c r="G155">
        <f t="shared" si="9"/>
        <v>117948</v>
      </c>
    </row>
    <row r="156" spans="1:7" x14ac:dyDescent="0.35">
      <c r="A156" t="s">
        <v>472</v>
      </c>
      <c r="B156" t="s">
        <v>472</v>
      </c>
      <c r="C156" t="s">
        <v>892</v>
      </c>
      <c r="D156" t="s">
        <v>179</v>
      </c>
      <c r="E156" t="s">
        <v>893</v>
      </c>
      <c r="F156" t="b">
        <f t="shared" si="8"/>
        <v>1</v>
      </c>
      <c r="G156">
        <f t="shared" si="9"/>
        <v>115234</v>
      </c>
    </row>
    <row r="157" spans="1:7" x14ac:dyDescent="0.35">
      <c r="A157" t="s">
        <v>462</v>
      </c>
      <c r="B157" t="s">
        <v>463</v>
      </c>
      <c r="C157" t="s">
        <v>884</v>
      </c>
      <c r="D157" t="s">
        <v>464</v>
      </c>
      <c r="E157" t="s">
        <v>885</v>
      </c>
      <c r="F157" t="b">
        <f t="shared" si="8"/>
        <v>1</v>
      </c>
      <c r="G157">
        <f t="shared" si="9"/>
        <v>106039</v>
      </c>
    </row>
    <row r="158" spans="1:7" hidden="1" x14ac:dyDescent="0.35">
      <c r="A158" t="s">
        <v>408</v>
      </c>
      <c r="B158" t="s">
        <v>409</v>
      </c>
      <c r="C158" t="s">
        <v>838</v>
      </c>
      <c r="D158" t="s">
        <v>410</v>
      </c>
      <c r="E158" t="s">
        <v>839</v>
      </c>
      <c r="F158" t="b">
        <f t="shared" si="8"/>
        <v>0</v>
      </c>
      <c r="G158">
        <f t="shared" si="9"/>
        <v>220065</v>
      </c>
    </row>
    <row r="159" spans="1:7" x14ac:dyDescent="0.35">
      <c r="A159" t="s">
        <v>369</v>
      </c>
      <c r="B159" t="s">
        <v>370</v>
      </c>
      <c r="C159" t="s">
        <v>804</v>
      </c>
      <c r="D159" t="s">
        <v>371</v>
      </c>
      <c r="E159" t="s">
        <v>805</v>
      </c>
      <c r="F159" t="b">
        <f t="shared" si="8"/>
        <v>1</v>
      </c>
      <c r="G159">
        <f t="shared" si="9"/>
        <v>75107</v>
      </c>
    </row>
    <row r="160" spans="1:7" x14ac:dyDescent="0.35">
      <c r="A160" t="s">
        <v>398</v>
      </c>
      <c r="B160" t="s">
        <v>399</v>
      </c>
      <c r="C160" t="s">
        <v>830</v>
      </c>
      <c r="D160" t="s">
        <v>145</v>
      </c>
      <c r="E160" t="s">
        <v>831</v>
      </c>
      <c r="F160" t="b">
        <f t="shared" si="8"/>
        <v>1</v>
      </c>
      <c r="G160">
        <f t="shared" si="9"/>
        <v>72433</v>
      </c>
    </row>
    <row r="161" spans="1:7" hidden="1" x14ac:dyDescent="0.35">
      <c r="A161" t="s">
        <v>415</v>
      </c>
      <c r="B161" t="s">
        <v>416</v>
      </c>
      <c r="C161" t="s">
        <v>844</v>
      </c>
      <c r="D161" t="s">
        <v>308</v>
      </c>
      <c r="E161" t="s">
        <v>845</v>
      </c>
      <c r="F161" t="b">
        <f t="shared" si="8"/>
        <v>0</v>
      </c>
      <c r="G161">
        <f t="shared" si="9"/>
        <v>977333</v>
      </c>
    </row>
    <row r="162" spans="1:7" hidden="1" x14ac:dyDescent="0.35">
      <c r="A162" t="s">
        <v>417</v>
      </c>
      <c r="B162" t="s">
        <v>418</v>
      </c>
      <c r="C162" t="s">
        <v>846</v>
      </c>
      <c r="D162" t="s">
        <v>419</v>
      </c>
      <c r="E162" t="s">
        <v>847</v>
      </c>
      <c r="F162" t="b">
        <f t="shared" ref="F162:F197" si="10">OR(LEFT(A162,1)="A",LEFT(A162,1)="E",LEFT(A162,1)="I",LEFT(A162,1)="O",LEFT(A162,1)="U",LEFT(A162,1)="B",LEFT(A162,1)="C",LEFT(A162,1)="D")</f>
        <v>0</v>
      </c>
      <c r="G162">
        <f t="shared" si="9"/>
        <v>721481</v>
      </c>
    </row>
    <row r="163" spans="1:7" hidden="1" x14ac:dyDescent="0.35">
      <c r="A163" t="s">
        <v>420</v>
      </c>
      <c r="B163" t="s">
        <v>421</v>
      </c>
      <c r="C163" t="s">
        <v>848</v>
      </c>
      <c r="D163" t="s">
        <v>422</v>
      </c>
      <c r="E163" t="s">
        <v>849</v>
      </c>
      <c r="F163" t="b">
        <f t="shared" si="10"/>
        <v>0</v>
      </c>
      <c r="G163">
        <f t="shared" si="9"/>
        <v>1422530</v>
      </c>
    </row>
    <row r="164" spans="1:7" hidden="1" x14ac:dyDescent="0.35">
      <c r="A164" t="s">
        <v>423</v>
      </c>
      <c r="B164" t="s">
        <v>424</v>
      </c>
      <c r="C164" t="s">
        <v>850</v>
      </c>
      <c r="D164" t="s">
        <v>80</v>
      </c>
      <c r="E164" t="s">
        <v>751</v>
      </c>
      <c r="F164" t="b">
        <f t="shared" si="10"/>
        <v>0</v>
      </c>
      <c r="G164" t="e">
        <f t="shared" ref="G164:G197" si="11">VALUE(SUBSTITUTE(SUBSTITUTE(E164,"$",""),",",""))</f>
        <v>#VALUE!</v>
      </c>
    </row>
    <row r="165" spans="1:7" hidden="1" x14ac:dyDescent="0.35">
      <c r="A165" t="s">
        <v>425</v>
      </c>
      <c r="B165" t="s">
        <v>425</v>
      </c>
      <c r="C165" t="s">
        <v>851</v>
      </c>
      <c r="D165" t="s">
        <v>18</v>
      </c>
      <c r="E165" t="s">
        <v>852</v>
      </c>
      <c r="F165" t="b">
        <f t="shared" si="10"/>
        <v>0</v>
      </c>
      <c r="G165">
        <f t="shared" si="11"/>
        <v>107281</v>
      </c>
    </row>
    <row r="166" spans="1:7" hidden="1" x14ac:dyDescent="0.35">
      <c r="A166" t="s">
        <v>426</v>
      </c>
      <c r="B166" t="s">
        <v>427</v>
      </c>
      <c r="C166" t="s">
        <v>853</v>
      </c>
      <c r="D166" t="s">
        <v>428</v>
      </c>
      <c r="E166" t="s">
        <v>854</v>
      </c>
      <c r="F166" t="b">
        <f t="shared" si="10"/>
        <v>0</v>
      </c>
      <c r="G166">
        <f t="shared" si="11"/>
        <v>465</v>
      </c>
    </row>
    <row r="167" spans="1:7" x14ac:dyDescent="0.35">
      <c r="A167" t="s">
        <v>436</v>
      </c>
      <c r="B167" t="s">
        <v>437</v>
      </c>
      <c r="C167" t="s">
        <v>861</v>
      </c>
      <c r="D167" t="s">
        <v>93</v>
      </c>
      <c r="E167" t="s">
        <v>862</v>
      </c>
      <c r="F167" t="b">
        <f t="shared" si="10"/>
        <v>1</v>
      </c>
      <c r="G167">
        <f t="shared" si="11"/>
        <v>69191</v>
      </c>
    </row>
    <row r="168" spans="1:7" x14ac:dyDescent="0.35">
      <c r="A168" t="s">
        <v>334</v>
      </c>
      <c r="B168" t="s">
        <v>335</v>
      </c>
      <c r="C168" t="s">
        <v>775</v>
      </c>
      <c r="D168" t="s">
        <v>257</v>
      </c>
      <c r="E168" t="s">
        <v>776</v>
      </c>
      <c r="F168" t="b">
        <f t="shared" si="10"/>
        <v>1</v>
      </c>
      <c r="G168">
        <f t="shared" si="11"/>
        <v>43739</v>
      </c>
    </row>
    <row r="169" spans="1:7" x14ac:dyDescent="0.35">
      <c r="A169" t="s">
        <v>438</v>
      </c>
      <c r="B169" t="s">
        <v>438</v>
      </c>
      <c r="C169" t="s">
        <v>863</v>
      </c>
      <c r="D169" t="s">
        <v>439</v>
      </c>
      <c r="E169" t="s">
        <v>864</v>
      </c>
      <c r="F169" t="b">
        <f t="shared" si="10"/>
        <v>1</v>
      </c>
      <c r="G169">
        <f t="shared" si="11"/>
        <v>34103</v>
      </c>
    </row>
    <row r="170" spans="1:7" x14ac:dyDescent="0.35">
      <c r="A170" t="s">
        <v>171</v>
      </c>
      <c r="B170" t="s">
        <v>172</v>
      </c>
      <c r="C170" t="s">
        <v>646</v>
      </c>
      <c r="D170" t="s">
        <v>173</v>
      </c>
      <c r="E170" t="s">
        <v>647</v>
      </c>
      <c r="F170" t="b">
        <f t="shared" si="10"/>
        <v>1</v>
      </c>
      <c r="G170">
        <f t="shared" si="11"/>
        <v>21125</v>
      </c>
    </row>
    <row r="171" spans="1:7" x14ac:dyDescent="0.35">
      <c r="A171" t="s">
        <v>364</v>
      </c>
      <c r="B171" t="s">
        <v>365</v>
      </c>
      <c r="C171" t="s">
        <v>800</v>
      </c>
      <c r="D171" t="s">
        <v>366</v>
      </c>
      <c r="E171" t="s">
        <v>801</v>
      </c>
      <c r="F171" t="b">
        <f t="shared" si="10"/>
        <v>1</v>
      </c>
      <c r="G171">
        <f t="shared" si="11"/>
        <v>17403</v>
      </c>
    </row>
    <row r="172" spans="1:7" hidden="1" x14ac:dyDescent="0.35">
      <c r="A172" t="s">
        <v>440</v>
      </c>
      <c r="B172" t="s">
        <v>440</v>
      </c>
      <c r="C172" t="s">
        <v>865</v>
      </c>
      <c r="D172" t="s">
        <v>441</v>
      </c>
      <c r="E172" t="s">
        <v>866</v>
      </c>
      <c r="F172" t="b">
        <f t="shared" si="10"/>
        <v>0</v>
      </c>
      <c r="G172">
        <f t="shared" si="11"/>
        <v>1983713</v>
      </c>
    </row>
    <row r="173" spans="1:7" hidden="1" x14ac:dyDescent="0.35">
      <c r="A173" t="s">
        <v>442</v>
      </c>
      <c r="B173" t="s">
        <v>443</v>
      </c>
      <c r="C173" t="s">
        <v>867</v>
      </c>
      <c r="D173" t="s">
        <v>250</v>
      </c>
      <c r="E173" t="s">
        <v>868</v>
      </c>
      <c r="F173" t="b">
        <f t="shared" si="10"/>
        <v>0</v>
      </c>
      <c r="G173">
        <f t="shared" si="11"/>
        <v>944920</v>
      </c>
    </row>
    <row r="174" spans="1:7" hidden="1" x14ac:dyDescent="0.35">
      <c r="A174" t="s">
        <v>444</v>
      </c>
      <c r="B174" t="s">
        <v>445</v>
      </c>
      <c r="C174" t="s">
        <v>869</v>
      </c>
      <c r="D174" t="s">
        <v>410</v>
      </c>
      <c r="E174" t="s">
        <v>751</v>
      </c>
      <c r="F174" t="b">
        <f t="shared" si="10"/>
        <v>0</v>
      </c>
      <c r="G174" t="e">
        <f t="shared" si="11"/>
        <v>#VALUE!</v>
      </c>
    </row>
    <row r="175" spans="1:7" hidden="1" x14ac:dyDescent="0.35">
      <c r="A175" t="s">
        <v>446</v>
      </c>
      <c r="B175" t="s">
        <v>446</v>
      </c>
      <c r="C175" t="s">
        <v>870</v>
      </c>
      <c r="D175" t="s">
        <v>447</v>
      </c>
      <c r="E175" t="s">
        <v>871</v>
      </c>
      <c r="F175" t="b">
        <f t="shared" si="10"/>
        <v>0</v>
      </c>
      <c r="G175">
        <f t="shared" si="11"/>
        <v>25840</v>
      </c>
    </row>
    <row r="176" spans="1:7" hidden="1" x14ac:dyDescent="0.35">
      <c r="A176" t="s">
        <v>448</v>
      </c>
      <c r="B176" t="s">
        <v>449</v>
      </c>
      <c r="C176" t="s">
        <v>872</v>
      </c>
      <c r="D176" t="s">
        <v>18</v>
      </c>
      <c r="E176" t="s">
        <v>873</v>
      </c>
      <c r="F176" t="b">
        <f t="shared" si="10"/>
        <v>0</v>
      </c>
      <c r="G176">
        <f t="shared" si="11"/>
        <v>290910</v>
      </c>
    </row>
    <row r="177" spans="1:7" hidden="1" x14ac:dyDescent="0.35">
      <c r="A177" t="s">
        <v>450</v>
      </c>
      <c r="B177" t="s">
        <v>451</v>
      </c>
      <c r="C177" t="s">
        <v>874</v>
      </c>
      <c r="D177" t="s">
        <v>452</v>
      </c>
      <c r="E177" t="s">
        <v>875</v>
      </c>
      <c r="F177" t="b">
        <f t="shared" si="10"/>
        <v>0</v>
      </c>
      <c r="G177">
        <f t="shared" si="11"/>
        <v>1872</v>
      </c>
    </row>
    <row r="178" spans="1:7" hidden="1" x14ac:dyDescent="0.35">
      <c r="A178" t="s">
        <v>453</v>
      </c>
      <c r="B178" t="s">
        <v>454</v>
      </c>
      <c r="C178" t="s">
        <v>876</v>
      </c>
      <c r="D178" t="s">
        <v>23</v>
      </c>
      <c r="E178" t="s">
        <v>877</v>
      </c>
      <c r="F178" t="b">
        <f t="shared" si="10"/>
        <v>0</v>
      </c>
      <c r="G178">
        <f t="shared" si="11"/>
        <v>117957</v>
      </c>
    </row>
    <row r="179" spans="1:7" x14ac:dyDescent="0.35">
      <c r="A179" t="s">
        <v>384</v>
      </c>
      <c r="B179" t="s">
        <v>385</v>
      </c>
      <c r="C179" t="s">
        <v>818</v>
      </c>
      <c r="D179" t="s">
        <v>386</v>
      </c>
      <c r="E179" t="s">
        <v>819</v>
      </c>
      <c r="F179" t="b">
        <f t="shared" si="10"/>
        <v>1</v>
      </c>
      <c r="G179">
        <f t="shared" si="11"/>
        <v>14376</v>
      </c>
    </row>
    <row r="180" spans="1:7" hidden="1" x14ac:dyDescent="0.35">
      <c r="A180" t="s">
        <v>458</v>
      </c>
      <c r="B180" t="s">
        <v>459</v>
      </c>
      <c r="C180" t="s">
        <v>880</v>
      </c>
      <c r="D180" t="s">
        <v>422</v>
      </c>
      <c r="E180" t="s">
        <v>881</v>
      </c>
      <c r="F180" t="b">
        <f t="shared" si="10"/>
        <v>0</v>
      </c>
      <c r="G180">
        <f t="shared" si="11"/>
        <v>62197</v>
      </c>
    </row>
    <row r="181" spans="1:7" hidden="1" x14ac:dyDescent="0.35">
      <c r="A181" t="s">
        <v>460</v>
      </c>
      <c r="B181" t="s">
        <v>461</v>
      </c>
      <c r="C181" t="s">
        <v>882</v>
      </c>
      <c r="D181" t="s">
        <v>80</v>
      </c>
      <c r="E181" t="s">
        <v>883</v>
      </c>
      <c r="F181" t="b">
        <f t="shared" si="10"/>
        <v>0</v>
      </c>
      <c r="G181">
        <f t="shared" si="11"/>
        <v>109870</v>
      </c>
    </row>
    <row r="182" spans="1:7" x14ac:dyDescent="0.35">
      <c r="A182" t="s">
        <v>485</v>
      </c>
      <c r="B182" t="s">
        <v>486</v>
      </c>
      <c r="C182" t="s">
        <v>904</v>
      </c>
      <c r="D182" t="s">
        <v>361</v>
      </c>
      <c r="E182" t="s">
        <v>905</v>
      </c>
      <c r="F182" t="b">
        <f t="shared" si="10"/>
        <v>1</v>
      </c>
      <c r="G182">
        <f t="shared" si="11"/>
        <v>11736</v>
      </c>
    </row>
    <row r="183" spans="1:7" x14ac:dyDescent="0.35">
      <c r="A183" t="s">
        <v>279</v>
      </c>
      <c r="B183" t="s">
        <v>280</v>
      </c>
      <c r="C183" t="s">
        <v>730</v>
      </c>
      <c r="D183" t="s">
        <v>62</v>
      </c>
      <c r="E183" t="s">
        <v>731</v>
      </c>
      <c r="F183" t="b">
        <f t="shared" si="10"/>
        <v>1</v>
      </c>
      <c r="G183">
        <f t="shared" si="11"/>
        <v>3185</v>
      </c>
    </row>
    <row r="184" spans="1:7" hidden="1" x14ac:dyDescent="0.35">
      <c r="A184" t="s">
        <v>467</v>
      </c>
      <c r="B184" t="s">
        <v>468</v>
      </c>
      <c r="C184" t="s">
        <v>888</v>
      </c>
      <c r="D184" t="s">
        <v>469</v>
      </c>
      <c r="E184" t="s">
        <v>889</v>
      </c>
      <c r="F184" t="b">
        <f t="shared" si="10"/>
        <v>0</v>
      </c>
      <c r="G184">
        <f t="shared" si="11"/>
        <v>201257</v>
      </c>
    </row>
    <row r="185" spans="1:7" x14ac:dyDescent="0.35">
      <c r="A185" t="s">
        <v>394</v>
      </c>
      <c r="B185" t="s">
        <v>395</v>
      </c>
      <c r="C185" t="s">
        <v>826</v>
      </c>
      <c r="D185" t="s">
        <v>145</v>
      </c>
      <c r="E185" t="s">
        <v>827</v>
      </c>
      <c r="F185" t="b">
        <f t="shared" si="10"/>
        <v>1</v>
      </c>
      <c r="G185">
        <f t="shared" si="11"/>
        <v>2100</v>
      </c>
    </row>
    <row r="186" spans="1:7" x14ac:dyDescent="0.35">
      <c r="A186" t="s">
        <v>406</v>
      </c>
      <c r="B186" t="s">
        <v>407</v>
      </c>
      <c r="C186" t="s">
        <v>836</v>
      </c>
      <c r="D186" t="s">
        <v>145</v>
      </c>
      <c r="E186" t="s">
        <v>837</v>
      </c>
      <c r="F186" t="b">
        <f t="shared" si="10"/>
        <v>1</v>
      </c>
      <c r="G186">
        <f t="shared" si="11"/>
        <v>1659</v>
      </c>
    </row>
    <row r="187" spans="1:7" x14ac:dyDescent="0.35">
      <c r="A187" t="s">
        <v>403</v>
      </c>
      <c r="B187" t="s">
        <v>404</v>
      </c>
      <c r="C187" t="s">
        <v>834</v>
      </c>
      <c r="D187" t="s">
        <v>405</v>
      </c>
      <c r="E187" t="s">
        <v>835</v>
      </c>
      <c r="F187" t="b">
        <f t="shared" si="10"/>
        <v>1</v>
      </c>
      <c r="G187">
        <f t="shared" si="11"/>
        <v>1614</v>
      </c>
    </row>
    <row r="188" spans="1:7" hidden="1" x14ac:dyDescent="0.35">
      <c r="A188" t="s">
        <v>475</v>
      </c>
      <c r="B188" t="s">
        <v>476</v>
      </c>
      <c r="C188" t="s">
        <v>896</v>
      </c>
      <c r="D188" t="s">
        <v>477</v>
      </c>
      <c r="E188" t="s">
        <v>897</v>
      </c>
      <c r="F188" t="b">
        <f t="shared" si="10"/>
        <v>0</v>
      </c>
      <c r="G188">
        <f t="shared" si="11"/>
        <v>43846</v>
      </c>
    </row>
    <row r="189" spans="1:7" hidden="1" x14ac:dyDescent="0.35">
      <c r="A189" t="s">
        <v>478</v>
      </c>
      <c r="B189" t="s">
        <v>479</v>
      </c>
      <c r="C189" t="s">
        <v>898</v>
      </c>
      <c r="D189" t="s">
        <v>80</v>
      </c>
      <c r="E189" t="s">
        <v>751</v>
      </c>
      <c r="F189" t="b">
        <f t="shared" si="10"/>
        <v>0</v>
      </c>
      <c r="G189" t="e">
        <f t="shared" si="11"/>
        <v>#VALUE!</v>
      </c>
    </row>
    <row r="190" spans="1:7" x14ac:dyDescent="0.35">
      <c r="A190" t="s">
        <v>387</v>
      </c>
      <c r="B190" t="s">
        <v>388</v>
      </c>
      <c r="C190" t="s">
        <v>820</v>
      </c>
      <c r="D190" t="s">
        <v>18</v>
      </c>
      <c r="E190" t="s">
        <v>821</v>
      </c>
      <c r="F190" t="b">
        <f t="shared" si="10"/>
        <v>1</v>
      </c>
      <c r="G190">
        <f t="shared" si="11"/>
        <v>658</v>
      </c>
    </row>
    <row r="191" spans="1:7" hidden="1" x14ac:dyDescent="0.35">
      <c r="A191" t="s">
        <v>482</v>
      </c>
      <c r="B191" t="s">
        <v>483</v>
      </c>
      <c r="C191" t="s">
        <v>900</v>
      </c>
      <c r="D191" t="s">
        <v>361</v>
      </c>
      <c r="E191" t="s">
        <v>901</v>
      </c>
      <c r="F191" t="b">
        <f t="shared" si="10"/>
        <v>0</v>
      </c>
      <c r="G191">
        <f t="shared" si="11"/>
        <v>606685</v>
      </c>
    </row>
    <row r="192" spans="1:7" hidden="1" x14ac:dyDescent="0.35">
      <c r="A192" t="s">
        <v>484</v>
      </c>
      <c r="B192" t="s">
        <v>484</v>
      </c>
      <c r="C192" t="s">
        <v>902</v>
      </c>
      <c r="D192" t="s">
        <v>301</v>
      </c>
      <c r="E192" t="s">
        <v>903</v>
      </c>
      <c r="F192" t="b">
        <f t="shared" si="10"/>
        <v>0</v>
      </c>
      <c r="G192">
        <f t="shared" si="11"/>
        <v>86086</v>
      </c>
    </row>
    <row r="193" spans="1:7" x14ac:dyDescent="0.35">
      <c r="A193" t="s">
        <v>431</v>
      </c>
      <c r="B193" t="s">
        <v>432</v>
      </c>
      <c r="C193" t="s">
        <v>857</v>
      </c>
      <c r="D193" t="s">
        <v>14</v>
      </c>
      <c r="E193" t="s">
        <v>858</v>
      </c>
      <c r="F193" t="b">
        <f t="shared" si="10"/>
        <v>1</v>
      </c>
      <c r="G193">
        <f t="shared" si="11"/>
        <v>287</v>
      </c>
    </row>
    <row r="194" spans="1:7" hidden="1" x14ac:dyDescent="0.35">
      <c r="A194" t="s">
        <v>487</v>
      </c>
      <c r="B194" t="s">
        <v>488</v>
      </c>
      <c r="C194" t="s">
        <v>906</v>
      </c>
      <c r="D194" t="s">
        <v>489</v>
      </c>
      <c r="E194" t="s">
        <v>907</v>
      </c>
      <c r="F194" t="b">
        <f t="shared" si="10"/>
        <v>0</v>
      </c>
      <c r="G194">
        <f t="shared" si="11"/>
        <v>150756</v>
      </c>
    </row>
    <row r="195" spans="1:7" x14ac:dyDescent="0.35">
      <c r="A195" t="s">
        <v>241</v>
      </c>
      <c r="B195" t="s">
        <v>242</v>
      </c>
      <c r="C195" t="s">
        <v>698</v>
      </c>
      <c r="D195" t="s">
        <v>23</v>
      </c>
      <c r="E195" t="s">
        <v>699</v>
      </c>
      <c r="F195" t="b">
        <f t="shared" si="10"/>
        <v>1</v>
      </c>
      <c r="G195">
        <f t="shared" si="11"/>
        <v>47</v>
      </c>
    </row>
    <row r="196" spans="1:7" hidden="1" x14ac:dyDescent="0.35">
      <c r="A196" t="s">
        <v>493</v>
      </c>
      <c r="B196" t="s">
        <v>494</v>
      </c>
      <c r="C196" t="s">
        <v>910</v>
      </c>
      <c r="D196" t="s">
        <v>227</v>
      </c>
      <c r="E196" t="s">
        <v>911</v>
      </c>
      <c r="F196" t="b">
        <f t="shared" si="10"/>
        <v>0</v>
      </c>
      <c r="G196">
        <f t="shared" si="11"/>
        <v>18</v>
      </c>
    </row>
    <row r="197" spans="1:7" x14ac:dyDescent="0.35">
      <c r="A197" t="s">
        <v>465</v>
      </c>
      <c r="B197" t="s">
        <v>466</v>
      </c>
      <c r="C197" t="s">
        <v>886</v>
      </c>
      <c r="D197" t="s">
        <v>80</v>
      </c>
      <c r="E197" t="s">
        <v>887</v>
      </c>
      <c r="F197" t="b">
        <f t="shared" si="10"/>
        <v>1</v>
      </c>
      <c r="G197">
        <f t="shared" si="11"/>
        <v>36</v>
      </c>
    </row>
    <row r="198" spans="1:7" hidden="1" x14ac:dyDescent="0.35">
      <c r="A198" t="s">
        <v>497</v>
      </c>
      <c r="B198" t="s">
        <v>498</v>
      </c>
      <c r="C198" t="s">
        <v>914</v>
      </c>
      <c r="D198" t="s">
        <v>499</v>
      </c>
      <c r="E198" t="s">
        <v>915</v>
      </c>
      <c r="F198" t="b">
        <f t="shared" ref="F198:F201" si="12">OR(LEFT(A198,1)="A",LEFT(A198,1)="E",LEFT(A198,1)="I",LEFT(A198,1)="O",LEFT(A198,1)="U",LEFT(A198,1)="B",LEFT(A198,1)="C",LEFT(A198,1)="D")</f>
        <v>0</v>
      </c>
      <c r="G198">
        <f t="shared" ref="G198:G201" si="13">VALUE(SUBSTITUTE(SUBSTITUTE(E198,"$",""),",",""))</f>
        <v>1609979</v>
      </c>
    </row>
    <row r="199" spans="1:7" hidden="1" x14ac:dyDescent="0.35">
      <c r="A199" t="s">
        <v>500</v>
      </c>
      <c r="B199" t="s">
        <v>501</v>
      </c>
      <c r="C199" t="s">
        <v>916</v>
      </c>
      <c r="D199" t="s">
        <v>502</v>
      </c>
      <c r="E199" t="s">
        <v>917</v>
      </c>
      <c r="F199" t="b">
        <f t="shared" si="12"/>
        <v>0</v>
      </c>
      <c r="G199">
        <f t="shared" si="13"/>
        <v>32118</v>
      </c>
    </row>
    <row r="200" spans="1:7" hidden="1" x14ac:dyDescent="0.35">
      <c r="A200" t="s">
        <v>503</v>
      </c>
      <c r="B200" t="s">
        <v>503</v>
      </c>
      <c r="C200" t="s">
        <v>918</v>
      </c>
      <c r="D200" t="s">
        <v>504</v>
      </c>
      <c r="E200" t="s">
        <v>919</v>
      </c>
      <c r="F200" t="b">
        <f t="shared" si="12"/>
        <v>0</v>
      </c>
      <c r="G200">
        <f t="shared" si="13"/>
        <v>2223596</v>
      </c>
    </row>
    <row r="201" spans="1:7" hidden="1" x14ac:dyDescent="0.35">
      <c r="A201" t="s">
        <v>505</v>
      </c>
      <c r="B201" t="s">
        <v>506</v>
      </c>
      <c r="C201" t="s">
        <v>920</v>
      </c>
      <c r="D201" t="s">
        <v>507</v>
      </c>
      <c r="E201" t="s">
        <v>921</v>
      </c>
      <c r="F201" t="b">
        <f t="shared" si="12"/>
        <v>0</v>
      </c>
      <c r="G201">
        <f t="shared" si="13"/>
        <v>1855</v>
      </c>
    </row>
  </sheetData>
  <autoFilter ref="A1:G201" xr:uid="{B671F633-4C01-4C73-9CB2-1DDAFB5C6286}">
    <filterColumn colId="5">
      <filters>
        <filter val="TRUE"/>
      </filters>
    </filterColumn>
    <sortState xmlns:xlrd2="http://schemas.microsoft.com/office/spreadsheetml/2017/richdata2" ref="A2:G197">
      <sortCondition descending="1" ref="G1:G201"/>
    </sortState>
  </autoFilter>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D4BB6-00B6-4837-AA39-7CF505BDDDE2}">
  <dimension ref="A1:L201"/>
  <sheetViews>
    <sheetView topLeftCell="D1" workbookViewId="0">
      <selection activeCell="E1" sqref="E1:E1048576"/>
    </sheetView>
  </sheetViews>
  <sheetFormatPr defaultRowHeight="14.5" x14ac:dyDescent="0.35"/>
  <cols>
    <col min="1" max="1" width="11" customWidth="1"/>
    <col min="3" max="3" width="15.08984375" customWidth="1"/>
    <col min="4" max="4" width="12.1796875" customWidth="1"/>
    <col min="5" max="5" width="16.1796875" customWidth="1"/>
    <col min="6" max="6" width="16.08984375" customWidth="1"/>
    <col min="8" max="8" width="17" customWidth="1"/>
    <col min="9" max="9" width="15.36328125" customWidth="1"/>
    <col min="10" max="10" width="16.26953125" customWidth="1"/>
    <col min="11" max="11" width="19.6328125" customWidth="1"/>
    <col min="12" max="12" width="18" customWidth="1"/>
    <col min="13" max="13" width="13.90625" customWidth="1"/>
  </cols>
  <sheetData>
    <row r="1" spans="1:12" x14ac:dyDescent="0.35">
      <c r="A1" s="16" t="s">
        <v>0</v>
      </c>
      <c r="B1" s="16" t="s">
        <v>1</v>
      </c>
      <c r="C1" s="16" t="s">
        <v>525</v>
      </c>
      <c r="D1" s="16" t="s">
        <v>924</v>
      </c>
      <c r="E1" s="16" t="s">
        <v>527</v>
      </c>
      <c r="F1" s="16" t="s">
        <v>1085</v>
      </c>
      <c r="H1" s="18" t="s">
        <v>0</v>
      </c>
      <c r="I1" s="18" t="s">
        <v>6</v>
      </c>
      <c r="J1" s="19" t="s">
        <v>9</v>
      </c>
      <c r="K1" s="20" t="s">
        <v>1278</v>
      </c>
      <c r="L1" s="20">
        <f>VALUE(SUBSTITUTE(I4,"$","")) - VALUE(SUBSTITUTE(J4,"$",""))</f>
        <v>28228130932</v>
      </c>
    </row>
    <row r="2" spans="1:12" x14ac:dyDescent="0.35">
      <c r="A2" t="s">
        <v>6</v>
      </c>
      <c r="B2" t="s">
        <v>7</v>
      </c>
      <c r="C2" t="s">
        <v>528</v>
      </c>
      <c r="D2" t="s">
        <v>925</v>
      </c>
      <c r="E2" t="s">
        <v>529</v>
      </c>
      <c r="F2" t="s">
        <v>1086</v>
      </c>
      <c r="H2" s="17" t="s">
        <v>1</v>
      </c>
      <c r="I2" t="str">
        <f>VLOOKUP(I1,$A$2:$F$200,2,FALSE)</f>
        <v>BTC</v>
      </c>
      <c r="J2" t="str">
        <f>VLOOKUP(J1,$A$2:$F$200,2,FALSE)</f>
        <v>ETH</v>
      </c>
      <c r="K2" s="20" t="s">
        <v>1279</v>
      </c>
      <c r="L2" s="20" t="str">
        <f>I5&amp;" - "&amp;J5</f>
        <v>$2.07T - $299.51B</v>
      </c>
    </row>
    <row r="3" spans="1:12" x14ac:dyDescent="0.35">
      <c r="A3" t="s">
        <v>9</v>
      </c>
      <c r="B3" t="s">
        <v>10</v>
      </c>
      <c r="C3" t="s">
        <v>530</v>
      </c>
      <c r="D3" t="s">
        <v>926</v>
      </c>
      <c r="E3" t="s">
        <v>531</v>
      </c>
      <c r="F3" t="s">
        <v>1087</v>
      </c>
      <c r="H3" s="17" t="s">
        <v>525</v>
      </c>
      <c r="I3" t="str">
        <f>VLOOKUP(I1,$A$2:$F$200,3,FALSE)</f>
        <v>$104,058.04</v>
      </c>
      <c r="J3" t="str">
        <f>VLOOKUP(J1,$A$2:$F$200,3,FALSE)</f>
        <v>$2,483.59</v>
      </c>
      <c r="K3" s="20" t="s">
        <v>1280</v>
      </c>
      <c r="L3" s="20" t="str">
        <f>I6&amp;" - "&amp;J6</f>
        <v>19.88M - 120.72M</v>
      </c>
    </row>
    <row r="4" spans="1:12" x14ac:dyDescent="0.35">
      <c r="A4" t="s">
        <v>12</v>
      </c>
      <c r="B4" t="s">
        <v>13</v>
      </c>
      <c r="C4" t="s">
        <v>532</v>
      </c>
      <c r="D4" t="s">
        <v>927</v>
      </c>
      <c r="E4" t="s">
        <v>533</v>
      </c>
      <c r="F4" t="s">
        <v>1088</v>
      </c>
      <c r="H4" s="17" t="s">
        <v>527</v>
      </c>
      <c r="I4" t="str">
        <f>VLOOKUP(I1,$A$2:$F$200,5,FALSE)</f>
        <v>$43,170,391,288</v>
      </c>
      <c r="J4" t="str">
        <f>VLOOKUP(J1,$A$2:$F$200,5,FALSE)</f>
        <v>$14,942,260,356</v>
      </c>
    </row>
    <row r="5" spans="1:12" x14ac:dyDescent="0.35">
      <c r="A5" t="s">
        <v>15</v>
      </c>
      <c r="B5" t="s">
        <v>15</v>
      </c>
      <c r="C5" t="s">
        <v>534</v>
      </c>
      <c r="D5" t="s">
        <v>928</v>
      </c>
      <c r="E5" t="s">
        <v>535</v>
      </c>
      <c r="F5" t="s">
        <v>1089</v>
      </c>
      <c r="H5" s="17" t="s">
        <v>924</v>
      </c>
      <c r="I5" t="str">
        <f>VLOOKUP(I1,$A$2:$F$200,4,FALSE)</f>
        <v>$2.07T</v>
      </c>
      <c r="J5" t="str">
        <f>VLOOKUP(J1,$A$2:$F$200,4,FALSE)</f>
        <v>$299.51B</v>
      </c>
    </row>
    <row r="6" spans="1:12" x14ac:dyDescent="0.35">
      <c r="A6" t="s">
        <v>17</v>
      </c>
      <c r="B6" t="s">
        <v>17</v>
      </c>
      <c r="C6" t="s">
        <v>536</v>
      </c>
      <c r="D6" t="s">
        <v>929</v>
      </c>
      <c r="E6" t="s">
        <v>537</v>
      </c>
      <c r="F6" t="s">
        <v>1090</v>
      </c>
      <c r="H6" s="17" t="s">
        <v>1085</v>
      </c>
      <c r="I6" t="str">
        <f>VLOOKUP(I1,$A$2:$F$200,6,FALSE)</f>
        <v>19.88M</v>
      </c>
      <c r="J6" t="str">
        <f>VLOOKUP(J1,$A$2:$F$200,6,FALSE)</f>
        <v>120.72M</v>
      </c>
    </row>
    <row r="7" spans="1:12" x14ac:dyDescent="0.35">
      <c r="A7" t="s">
        <v>19</v>
      </c>
      <c r="B7" t="s">
        <v>20</v>
      </c>
      <c r="C7" t="s">
        <v>538</v>
      </c>
      <c r="D7" t="s">
        <v>930</v>
      </c>
      <c r="E7" t="s">
        <v>539</v>
      </c>
      <c r="F7" t="s">
        <v>1091</v>
      </c>
    </row>
    <row r="8" spans="1:12" x14ac:dyDescent="0.35">
      <c r="A8" t="s">
        <v>22</v>
      </c>
      <c r="B8" t="s">
        <v>22</v>
      </c>
      <c r="C8" t="s">
        <v>540</v>
      </c>
      <c r="D8" t="s">
        <v>931</v>
      </c>
      <c r="E8" t="s">
        <v>541</v>
      </c>
      <c r="F8" t="s">
        <v>1092</v>
      </c>
    </row>
    <row r="9" spans="1:12" x14ac:dyDescent="0.35">
      <c r="A9" t="s">
        <v>24</v>
      </c>
      <c r="B9" t="s">
        <v>25</v>
      </c>
      <c r="C9" t="s">
        <v>542</v>
      </c>
      <c r="D9" t="s">
        <v>932</v>
      </c>
      <c r="E9" t="s">
        <v>543</v>
      </c>
      <c r="F9" t="s">
        <v>1093</v>
      </c>
    </row>
    <row r="10" spans="1:12" x14ac:dyDescent="0.35">
      <c r="A10" t="s">
        <v>27</v>
      </c>
      <c r="B10" t="s">
        <v>28</v>
      </c>
      <c r="C10" t="s">
        <v>544</v>
      </c>
      <c r="D10" t="s">
        <v>933</v>
      </c>
      <c r="E10" t="s">
        <v>545</v>
      </c>
      <c r="F10" t="s">
        <v>1094</v>
      </c>
    </row>
    <row r="11" spans="1:12" x14ac:dyDescent="0.35">
      <c r="A11" t="s">
        <v>30</v>
      </c>
      <c r="B11" t="s">
        <v>31</v>
      </c>
      <c r="C11" t="s">
        <v>546</v>
      </c>
      <c r="D11" t="s">
        <v>934</v>
      </c>
      <c r="E11" t="s">
        <v>547</v>
      </c>
      <c r="F11" t="s">
        <v>1095</v>
      </c>
    </row>
    <row r="12" spans="1:12" x14ac:dyDescent="0.35">
      <c r="A12" t="s">
        <v>33</v>
      </c>
      <c r="B12" t="s">
        <v>34</v>
      </c>
      <c r="C12" t="s">
        <v>548</v>
      </c>
      <c r="D12" t="s">
        <v>935</v>
      </c>
      <c r="E12" t="s">
        <v>549</v>
      </c>
      <c r="F12" t="s">
        <v>1096</v>
      </c>
    </row>
    <row r="13" spans="1:12" x14ac:dyDescent="0.35">
      <c r="A13" t="s">
        <v>36</v>
      </c>
      <c r="B13" t="s">
        <v>37</v>
      </c>
      <c r="C13" t="s">
        <v>550</v>
      </c>
      <c r="D13" t="s">
        <v>936</v>
      </c>
      <c r="E13" t="s">
        <v>551</v>
      </c>
      <c r="F13" t="s">
        <v>1097</v>
      </c>
    </row>
    <row r="14" spans="1:12" x14ac:dyDescent="0.35">
      <c r="A14" t="s">
        <v>39</v>
      </c>
      <c r="B14" t="s">
        <v>40</v>
      </c>
      <c r="C14" t="s">
        <v>552</v>
      </c>
      <c r="D14" t="s">
        <v>937</v>
      </c>
      <c r="E14" t="s">
        <v>553</v>
      </c>
      <c r="F14" t="s">
        <v>1098</v>
      </c>
    </row>
    <row r="15" spans="1:12" x14ac:dyDescent="0.35">
      <c r="A15" t="s">
        <v>42</v>
      </c>
      <c r="B15" t="s">
        <v>43</v>
      </c>
      <c r="C15" t="s">
        <v>554</v>
      </c>
      <c r="D15" t="s">
        <v>938</v>
      </c>
      <c r="E15" t="s">
        <v>555</v>
      </c>
      <c r="F15" t="s">
        <v>1099</v>
      </c>
    </row>
    <row r="16" spans="1:12" x14ac:dyDescent="0.35">
      <c r="A16" t="s">
        <v>45</v>
      </c>
      <c r="B16" t="s">
        <v>46</v>
      </c>
      <c r="C16" t="s">
        <v>556</v>
      </c>
      <c r="D16" t="s">
        <v>939</v>
      </c>
      <c r="E16" t="s">
        <v>557</v>
      </c>
      <c r="F16" t="s">
        <v>1100</v>
      </c>
    </row>
    <row r="17" spans="1:6" x14ac:dyDescent="0.35">
      <c r="A17" t="s">
        <v>48</v>
      </c>
      <c r="B17" t="s">
        <v>49</v>
      </c>
      <c r="C17" t="s">
        <v>558</v>
      </c>
      <c r="D17" t="s">
        <v>940</v>
      </c>
      <c r="E17" t="s">
        <v>559</v>
      </c>
      <c r="F17" t="s">
        <v>1101</v>
      </c>
    </row>
    <row r="18" spans="1:6" x14ac:dyDescent="0.35">
      <c r="A18" t="s">
        <v>51</v>
      </c>
      <c r="B18" t="s">
        <v>52</v>
      </c>
      <c r="C18" t="s">
        <v>560</v>
      </c>
      <c r="D18" t="s">
        <v>941</v>
      </c>
      <c r="E18" t="s">
        <v>561</v>
      </c>
      <c r="F18" t="s">
        <v>1102</v>
      </c>
    </row>
    <row r="19" spans="1:6" x14ac:dyDescent="0.35">
      <c r="A19" t="s">
        <v>54</v>
      </c>
      <c r="B19" t="s">
        <v>55</v>
      </c>
      <c r="C19" t="s">
        <v>562</v>
      </c>
      <c r="D19" t="s">
        <v>942</v>
      </c>
      <c r="E19" t="s">
        <v>563</v>
      </c>
      <c r="F19" t="s">
        <v>1103</v>
      </c>
    </row>
    <row r="20" spans="1:6" x14ac:dyDescent="0.35">
      <c r="A20" t="s">
        <v>57</v>
      </c>
      <c r="B20" t="s">
        <v>58</v>
      </c>
      <c r="C20" t="s">
        <v>564</v>
      </c>
      <c r="D20" t="s">
        <v>943</v>
      </c>
      <c r="E20" t="s">
        <v>565</v>
      </c>
      <c r="F20" t="s">
        <v>1104</v>
      </c>
    </row>
    <row r="21" spans="1:6" x14ac:dyDescent="0.35">
      <c r="A21" t="s">
        <v>60</v>
      </c>
      <c r="B21" t="s">
        <v>61</v>
      </c>
      <c r="C21" t="s">
        <v>566</v>
      </c>
      <c r="D21" t="s">
        <v>944</v>
      </c>
      <c r="E21" t="s">
        <v>567</v>
      </c>
      <c r="F21" t="s">
        <v>1105</v>
      </c>
    </row>
    <row r="22" spans="1:6" x14ac:dyDescent="0.35">
      <c r="A22" t="s">
        <v>63</v>
      </c>
      <c r="B22" t="s">
        <v>64</v>
      </c>
      <c r="C22" t="s">
        <v>568</v>
      </c>
      <c r="D22" t="s">
        <v>945</v>
      </c>
      <c r="E22" t="s">
        <v>569</v>
      </c>
      <c r="F22" t="s">
        <v>1106</v>
      </c>
    </row>
    <row r="23" spans="1:6" x14ac:dyDescent="0.35">
      <c r="A23" t="s">
        <v>65</v>
      </c>
      <c r="B23" t="s">
        <v>66</v>
      </c>
      <c r="C23" t="s">
        <v>570</v>
      </c>
      <c r="D23" t="s">
        <v>946</v>
      </c>
      <c r="E23" t="s">
        <v>571</v>
      </c>
      <c r="F23" t="s">
        <v>1107</v>
      </c>
    </row>
    <row r="24" spans="1:6" x14ac:dyDescent="0.35">
      <c r="A24" t="s">
        <v>68</v>
      </c>
      <c r="B24" t="s">
        <v>69</v>
      </c>
      <c r="C24" t="s">
        <v>572</v>
      </c>
      <c r="D24" t="s">
        <v>947</v>
      </c>
      <c r="E24" t="s">
        <v>573</v>
      </c>
      <c r="F24" t="s">
        <v>1108</v>
      </c>
    </row>
    <row r="25" spans="1:6" x14ac:dyDescent="0.35">
      <c r="A25" t="s">
        <v>71</v>
      </c>
      <c r="B25" t="s">
        <v>72</v>
      </c>
      <c r="C25" t="s">
        <v>574</v>
      </c>
      <c r="D25" t="s">
        <v>948</v>
      </c>
      <c r="E25" t="s">
        <v>575</v>
      </c>
      <c r="F25" t="s">
        <v>1109</v>
      </c>
    </row>
    <row r="26" spans="1:6" x14ac:dyDescent="0.35">
      <c r="A26" t="s">
        <v>74</v>
      </c>
      <c r="B26" t="s">
        <v>75</v>
      </c>
      <c r="C26" t="s">
        <v>576</v>
      </c>
      <c r="D26" t="s">
        <v>949</v>
      </c>
      <c r="E26" t="s">
        <v>577</v>
      </c>
      <c r="F26" t="s">
        <v>1110</v>
      </c>
    </row>
    <row r="27" spans="1:6" x14ac:dyDescent="0.35">
      <c r="A27" t="s">
        <v>76</v>
      </c>
      <c r="B27" t="s">
        <v>77</v>
      </c>
      <c r="C27" t="s">
        <v>578</v>
      </c>
      <c r="D27" t="s">
        <v>950</v>
      </c>
      <c r="E27" t="s">
        <v>579</v>
      </c>
      <c r="F27" t="s">
        <v>1111</v>
      </c>
    </row>
    <row r="28" spans="1:6" x14ac:dyDescent="0.35">
      <c r="A28" t="s">
        <v>78</v>
      </c>
      <c r="B28" t="s">
        <v>79</v>
      </c>
      <c r="C28" t="s">
        <v>580</v>
      </c>
      <c r="D28" t="s">
        <v>951</v>
      </c>
      <c r="E28" t="s">
        <v>581</v>
      </c>
      <c r="F28" t="s">
        <v>1112</v>
      </c>
    </row>
    <row r="29" spans="1:6" x14ac:dyDescent="0.35">
      <c r="A29" t="s">
        <v>81</v>
      </c>
      <c r="B29" t="s">
        <v>82</v>
      </c>
      <c r="C29" t="s">
        <v>582</v>
      </c>
      <c r="D29" t="s">
        <v>952</v>
      </c>
      <c r="E29" t="s">
        <v>583</v>
      </c>
      <c r="F29" t="s">
        <v>1113</v>
      </c>
    </row>
    <row r="30" spans="1:6" x14ac:dyDescent="0.35">
      <c r="A30" t="s">
        <v>83</v>
      </c>
      <c r="B30" t="s">
        <v>84</v>
      </c>
      <c r="C30" t="s">
        <v>584</v>
      </c>
      <c r="D30" t="s">
        <v>953</v>
      </c>
      <c r="E30" t="s">
        <v>585</v>
      </c>
      <c r="F30" t="s">
        <v>1114</v>
      </c>
    </row>
    <row r="31" spans="1:6" x14ac:dyDescent="0.35">
      <c r="A31" t="s">
        <v>86</v>
      </c>
      <c r="B31" t="s">
        <v>87</v>
      </c>
      <c r="C31" t="s">
        <v>586</v>
      </c>
      <c r="D31" t="s">
        <v>954</v>
      </c>
      <c r="E31" t="s">
        <v>587</v>
      </c>
      <c r="F31" t="s">
        <v>1115</v>
      </c>
    </row>
    <row r="32" spans="1:6" x14ac:dyDescent="0.35">
      <c r="A32" t="s">
        <v>88</v>
      </c>
      <c r="B32" t="s">
        <v>89</v>
      </c>
      <c r="C32" t="s">
        <v>588</v>
      </c>
      <c r="D32" t="s">
        <v>955</v>
      </c>
      <c r="E32" t="s">
        <v>589</v>
      </c>
      <c r="F32" t="s">
        <v>1116</v>
      </c>
    </row>
    <row r="33" spans="1:6" x14ac:dyDescent="0.35">
      <c r="A33" t="s">
        <v>91</v>
      </c>
      <c r="B33" t="s">
        <v>92</v>
      </c>
      <c r="C33" t="s">
        <v>590</v>
      </c>
      <c r="D33" t="s">
        <v>956</v>
      </c>
      <c r="E33" t="s">
        <v>591</v>
      </c>
      <c r="F33" t="s">
        <v>1117</v>
      </c>
    </row>
    <row r="34" spans="1:6" x14ac:dyDescent="0.35">
      <c r="A34" t="s">
        <v>94</v>
      </c>
      <c r="B34" t="s">
        <v>95</v>
      </c>
      <c r="C34" t="s">
        <v>592</v>
      </c>
      <c r="D34" t="s">
        <v>957</v>
      </c>
      <c r="E34" t="s">
        <v>593</v>
      </c>
      <c r="F34" t="s">
        <v>1118</v>
      </c>
    </row>
    <row r="35" spans="1:6" x14ac:dyDescent="0.35">
      <c r="A35" t="s">
        <v>97</v>
      </c>
      <c r="B35" t="s">
        <v>97</v>
      </c>
      <c r="C35" t="s">
        <v>594</v>
      </c>
      <c r="D35" t="s">
        <v>958</v>
      </c>
      <c r="E35" t="s">
        <v>595</v>
      </c>
      <c r="F35" t="s">
        <v>1119</v>
      </c>
    </row>
    <row r="36" spans="1:6" x14ac:dyDescent="0.35">
      <c r="A36" t="s">
        <v>99</v>
      </c>
      <c r="B36" t="s">
        <v>100</v>
      </c>
      <c r="C36" t="s">
        <v>596</v>
      </c>
      <c r="D36" t="s">
        <v>959</v>
      </c>
      <c r="E36" t="s">
        <v>597</v>
      </c>
      <c r="F36" t="s">
        <v>1120</v>
      </c>
    </row>
    <row r="37" spans="1:6" x14ac:dyDescent="0.35">
      <c r="A37" t="s">
        <v>102</v>
      </c>
      <c r="B37" t="s">
        <v>103</v>
      </c>
      <c r="C37" t="s">
        <v>598</v>
      </c>
      <c r="D37" t="s">
        <v>960</v>
      </c>
      <c r="E37" t="s">
        <v>599</v>
      </c>
      <c r="F37" t="s">
        <v>1121</v>
      </c>
    </row>
    <row r="38" spans="1:6" x14ac:dyDescent="0.35">
      <c r="A38" t="s">
        <v>105</v>
      </c>
      <c r="B38" t="s">
        <v>106</v>
      </c>
      <c r="C38" t="s">
        <v>600</v>
      </c>
      <c r="D38" t="s">
        <v>961</v>
      </c>
      <c r="E38" t="s">
        <v>601</v>
      </c>
      <c r="F38" t="s">
        <v>1122</v>
      </c>
    </row>
    <row r="39" spans="1:6" x14ac:dyDescent="0.35">
      <c r="A39" t="s">
        <v>108</v>
      </c>
      <c r="B39" t="s">
        <v>109</v>
      </c>
      <c r="C39" t="s">
        <v>602</v>
      </c>
      <c r="D39" t="s">
        <v>962</v>
      </c>
      <c r="E39" t="s">
        <v>603</v>
      </c>
      <c r="F39" t="s">
        <v>1123</v>
      </c>
    </row>
    <row r="40" spans="1:6" x14ac:dyDescent="0.35">
      <c r="A40" t="s">
        <v>111</v>
      </c>
      <c r="B40" t="s">
        <v>112</v>
      </c>
      <c r="C40" t="s">
        <v>604</v>
      </c>
      <c r="D40" t="s">
        <v>963</v>
      </c>
      <c r="E40" t="s">
        <v>605</v>
      </c>
      <c r="F40" t="s">
        <v>1124</v>
      </c>
    </row>
    <row r="41" spans="1:6" x14ac:dyDescent="0.35">
      <c r="A41" t="s">
        <v>114</v>
      </c>
      <c r="B41" t="s">
        <v>115</v>
      </c>
      <c r="C41" t="s">
        <v>606</v>
      </c>
      <c r="D41" t="s">
        <v>964</v>
      </c>
      <c r="E41" t="s">
        <v>607</v>
      </c>
      <c r="F41" t="s">
        <v>1125</v>
      </c>
    </row>
    <row r="42" spans="1:6" x14ac:dyDescent="0.35">
      <c r="A42" t="s">
        <v>117</v>
      </c>
      <c r="B42" t="s">
        <v>118</v>
      </c>
      <c r="C42" t="s">
        <v>608</v>
      </c>
      <c r="D42" t="s">
        <v>965</v>
      </c>
      <c r="E42" t="s">
        <v>609</v>
      </c>
      <c r="F42" t="s">
        <v>1126</v>
      </c>
    </row>
    <row r="43" spans="1:6" x14ac:dyDescent="0.35">
      <c r="A43" t="s">
        <v>119</v>
      </c>
      <c r="B43" t="s">
        <v>120</v>
      </c>
      <c r="C43" t="s">
        <v>610</v>
      </c>
      <c r="D43" t="s">
        <v>966</v>
      </c>
      <c r="E43" t="s">
        <v>611</v>
      </c>
      <c r="F43" t="s">
        <v>1127</v>
      </c>
    </row>
    <row r="44" spans="1:6" x14ac:dyDescent="0.35">
      <c r="A44" t="s">
        <v>122</v>
      </c>
      <c r="B44" t="s">
        <v>123</v>
      </c>
      <c r="C44" t="s">
        <v>612</v>
      </c>
      <c r="D44" t="s">
        <v>967</v>
      </c>
      <c r="E44" t="s">
        <v>613</v>
      </c>
      <c r="F44" t="s">
        <v>1128</v>
      </c>
    </row>
    <row r="45" spans="1:6" x14ac:dyDescent="0.35">
      <c r="A45" t="s">
        <v>125</v>
      </c>
      <c r="B45" t="s">
        <v>126</v>
      </c>
      <c r="C45" t="s">
        <v>614</v>
      </c>
      <c r="D45" t="s">
        <v>968</v>
      </c>
      <c r="E45" t="s">
        <v>615</v>
      </c>
      <c r="F45" t="s">
        <v>1129</v>
      </c>
    </row>
    <row r="46" spans="1:6" x14ac:dyDescent="0.35">
      <c r="A46" t="s">
        <v>128</v>
      </c>
      <c r="B46" t="s">
        <v>129</v>
      </c>
      <c r="C46" t="s">
        <v>616</v>
      </c>
      <c r="D46" t="s">
        <v>969</v>
      </c>
      <c r="E46" t="s">
        <v>617</v>
      </c>
      <c r="F46" t="s">
        <v>1130</v>
      </c>
    </row>
    <row r="47" spans="1:6" x14ac:dyDescent="0.35">
      <c r="A47" t="s">
        <v>131</v>
      </c>
      <c r="B47" t="s">
        <v>132</v>
      </c>
      <c r="C47" t="s">
        <v>618</v>
      </c>
      <c r="D47" t="s">
        <v>970</v>
      </c>
      <c r="E47" t="s">
        <v>619</v>
      </c>
      <c r="F47" t="s">
        <v>1131</v>
      </c>
    </row>
    <row r="48" spans="1:6" x14ac:dyDescent="0.35">
      <c r="A48" t="s">
        <v>134</v>
      </c>
      <c r="B48" t="s">
        <v>135</v>
      </c>
      <c r="C48" t="s">
        <v>620</v>
      </c>
      <c r="D48" t="s">
        <v>971</v>
      </c>
      <c r="E48" t="s">
        <v>621</v>
      </c>
      <c r="F48" t="s">
        <v>1132</v>
      </c>
    </row>
    <row r="49" spans="1:6" x14ac:dyDescent="0.35">
      <c r="A49" t="s">
        <v>137</v>
      </c>
      <c r="B49" t="s">
        <v>138</v>
      </c>
      <c r="C49" t="s">
        <v>622</v>
      </c>
      <c r="D49" t="s">
        <v>972</v>
      </c>
      <c r="E49" t="s">
        <v>623</v>
      </c>
      <c r="F49" t="s">
        <v>1133</v>
      </c>
    </row>
    <row r="50" spans="1:6" x14ac:dyDescent="0.35">
      <c r="A50" t="s">
        <v>140</v>
      </c>
      <c r="B50" t="s">
        <v>141</v>
      </c>
      <c r="C50" t="s">
        <v>624</v>
      </c>
      <c r="D50" t="s">
        <v>973</v>
      </c>
      <c r="E50" t="s">
        <v>625</v>
      </c>
      <c r="F50" t="s">
        <v>1134</v>
      </c>
    </row>
    <row r="51" spans="1:6" x14ac:dyDescent="0.35">
      <c r="A51" t="s">
        <v>143</v>
      </c>
      <c r="B51" t="s">
        <v>144</v>
      </c>
      <c r="C51" t="s">
        <v>626</v>
      </c>
      <c r="D51" t="s">
        <v>974</v>
      </c>
      <c r="E51" t="s">
        <v>627</v>
      </c>
      <c r="F51" t="s">
        <v>1135</v>
      </c>
    </row>
    <row r="52" spans="1:6" x14ac:dyDescent="0.35">
      <c r="A52" t="s">
        <v>146</v>
      </c>
      <c r="B52" t="s">
        <v>147</v>
      </c>
      <c r="C52" t="s">
        <v>628</v>
      </c>
      <c r="D52" t="s">
        <v>975</v>
      </c>
      <c r="E52" t="s">
        <v>629</v>
      </c>
      <c r="F52" t="s">
        <v>1136</v>
      </c>
    </row>
    <row r="53" spans="1:6" x14ac:dyDescent="0.35">
      <c r="A53" t="s">
        <v>149</v>
      </c>
      <c r="B53" t="s">
        <v>150</v>
      </c>
      <c r="C53" t="s">
        <v>630</v>
      </c>
      <c r="D53" t="s">
        <v>976</v>
      </c>
      <c r="E53" t="s">
        <v>631</v>
      </c>
      <c r="F53" t="s">
        <v>1137</v>
      </c>
    </row>
    <row r="54" spans="1:6" x14ac:dyDescent="0.35">
      <c r="A54" t="s">
        <v>152</v>
      </c>
      <c r="B54" t="s">
        <v>153</v>
      </c>
      <c r="C54" t="s">
        <v>632</v>
      </c>
      <c r="D54" t="s">
        <v>977</v>
      </c>
      <c r="E54" t="s">
        <v>633</v>
      </c>
      <c r="F54" t="s">
        <v>1138</v>
      </c>
    </row>
    <row r="55" spans="1:6" x14ac:dyDescent="0.35">
      <c r="A55" t="s">
        <v>155</v>
      </c>
      <c r="B55" t="s">
        <v>156</v>
      </c>
      <c r="C55" t="s">
        <v>634</v>
      </c>
      <c r="D55" t="s">
        <v>978</v>
      </c>
      <c r="E55" t="s">
        <v>635</v>
      </c>
      <c r="F55" t="s">
        <v>1139</v>
      </c>
    </row>
    <row r="56" spans="1:6" x14ac:dyDescent="0.35">
      <c r="A56" t="s">
        <v>158</v>
      </c>
      <c r="B56" t="s">
        <v>159</v>
      </c>
      <c r="C56" t="s">
        <v>636</v>
      </c>
      <c r="D56" t="s">
        <v>979</v>
      </c>
      <c r="E56" t="s">
        <v>637</v>
      </c>
      <c r="F56" t="s">
        <v>1140</v>
      </c>
    </row>
    <row r="57" spans="1:6" x14ac:dyDescent="0.35">
      <c r="A57" t="s">
        <v>161</v>
      </c>
      <c r="B57" t="s">
        <v>162</v>
      </c>
      <c r="C57" t="s">
        <v>638</v>
      </c>
      <c r="D57" t="s">
        <v>980</v>
      </c>
      <c r="E57" t="s">
        <v>639</v>
      </c>
      <c r="F57" t="s">
        <v>1141</v>
      </c>
    </row>
    <row r="58" spans="1:6" x14ac:dyDescent="0.35">
      <c r="A58" t="s">
        <v>164</v>
      </c>
      <c r="B58" t="s">
        <v>165</v>
      </c>
      <c r="C58" t="s">
        <v>640</v>
      </c>
      <c r="D58" t="s">
        <v>981</v>
      </c>
      <c r="E58" t="s">
        <v>641</v>
      </c>
      <c r="F58" t="s">
        <v>1142</v>
      </c>
    </row>
    <row r="59" spans="1:6" x14ac:dyDescent="0.35">
      <c r="A59" t="s">
        <v>167</v>
      </c>
      <c r="B59" t="s">
        <v>168</v>
      </c>
      <c r="C59" t="s">
        <v>642</v>
      </c>
      <c r="D59" t="s">
        <v>982</v>
      </c>
      <c r="E59" t="s">
        <v>643</v>
      </c>
      <c r="F59" t="s">
        <v>1143</v>
      </c>
    </row>
    <row r="60" spans="1:6" x14ac:dyDescent="0.35">
      <c r="A60" t="s">
        <v>169</v>
      </c>
      <c r="B60" t="s">
        <v>170</v>
      </c>
      <c r="C60" t="s">
        <v>644</v>
      </c>
      <c r="D60" t="s">
        <v>983</v>
      </c>
      <c r="E60" t="s">
        <v>645</v>
      </c>
      <c r="F60" t="s">
        <v>1144</v>
      </c>
    </row>
    <row r="61" spans="1:6" x14ac:dyDescent="0.35">
      <c r="A61" t="s">
        <v>171</v>
      </c>
      <c r="B61" t="s">
        <v>172</v>
      </c>
      <c r="C61" t="s">
        <v>646</v>
      </c>
      <c r="D61" t="s">
        <v>984</v>
      </c>
      <c r="E61" t="s">
        <v>647</v>
      </c>
      <c r="F61" t="s">
        <v>1145</v>
      </c>
    </row>
    <row r="62" spans="1:6" x14ac:dyDescent="0.35">
      <c r="A62" t="s">
        <v>174</v>
      </c>
      <c r="B62" t="s">
        <v>175</v>
      </c>
      <c r="C62" t="s">
        <v>648</v>
      </c>
      <c r="D62" t="s">
        <v>985</v>
      </c>
      <c r="E62" t="s">
        <v>649</v>
      </c>
      <c r="F62" t="s">
        <v>1146</v>
      </c>
    </row>
    <row r="63" spans="1:6" x14ac:dyDescent="0.35">
      <c r="A63" t="s">
        <v>177</v>
      </c>
      <c r="B63" t="s">
        <v>178</v>
      </c>
      <c r="C63" t="s">
        <v>650</v>
      </c>
      <c r="D63" t="s">
        <v>986</v>
      </c>
      <c r="E63" t="s">
        <v>651</v>
      </c>
      <c r="F63" t="s">
        <v>1147</v>
      </c>
    </row>
    <row r="64" spans="1:6" x14ac:dyDescent="0.35">
      <c r="A64" t="s">
        <v>180</v>
      </c>
      <c r="B64" t="s">
        <v>181</v>
      </c>
      <c r="C64" t="s">
        <v>652</v>
      </c>
      <c r="D64" t="s">
        <v>987</v>
      </c>
      <c r="E64" t="s">
        <v>653</v>
      </c>
      <c r="F64" t="s">
        <v>1148</v>
      </c>
    </row>
    <row r="65" spans="1:6" x14ac:dyDescent="0.35">
      <c r="A65" t="s">
        <v>183</v>
      </c>
      <c r="B65" t="s">
        <v>184</v>
      </c>
      <c r="C65" t="s">
        <v>654</v>
      </c>
      <c r="D65" t="s">
        <v>988</v>
      </c>
      <c r="E65" t="s">
        <v>655</v>
      </c>
      <c r="F65" t="s">
        <v>1149</v>
      </c>
    </row>
    <row r="66" spans="1:6" x14ac:dyDescent="0.35">
      <c r="A66" t="s">
        <v>186</v>
      </c>
      <c r="B66" t="s">
        <v>187</v>
      </c>
      <c r="C66" t="s">
        <v>656</v>
      </c>
      <c r="D66" t="s">
        <v>989</v>
      </c>
      <c r="E66" t="s">
        <v>657</v>
      </c>
      <c r="F66" t="s">
        <v>1150</v>
      </c>
    </row>
    <row r="67" spans="1:6" x14ac:dyDescent="0.35">
      <c r="A67" t="s">
        <v>188</v>
      </c>
      <c r="B67" t="s">
        <v>189</v>
      </c>
      <c r="C67" t="s">
        <v>658</v>
      </c>
      <c r="D67" t="s">
        <v>990</v>
      </c>
      <c r="E67" t="s">
        <v>659</v>
      </c>
      <c r="F67" t="s">
        <v>1151</v>
      </c>
    </row>
    <row r="68" spans="1:6" x14ac:dyDescent="0.35">
      <c r="A68" t="s">
        <v>191</v>
      </c>
      <c r="B68" t="s">
        <v>192</v>
      </c>
      <c r="C68" t="s">
        <v>660</v>
      </c>
      <c r="D68" t="s">
        <v>991</v>
      </c>
      <c r="E68" t="s">
        <v>661</v>
      </c>
      <c r="F68" t="s">
        <v>1152</v>
      </c>
    </row>
    <row r="69" spans="1:6" x14ac:dyDescent="0.35">
      <c r="A69" t="s">
        <v>194</v>
      </c>
      <c r="B69" t="s">
        <v>195</v>
      </c>
      <c r="C69" t="s">
        <v>662</v>
      </c>
      <c r="D69" t="s">
        <v>992</v>
      </c>
      <c r="E69" t="s">
        <v>663</v>
      </c>
      <c r="F69" t="s">
        <v>1153</v>
      </c>
    </row>
    <row r="70" spans="1:6" x14ac:dyDescent="0.35">
      <c r="A70" t="s">
        <v>197</v>
      </c>
      <c r="B70" t="s">
        <v>198</v>
      </c>
      <c r="C70" t="s">
        <v>664</v>
      </c>
      <c r="D70" t="s">
        <v>993</v>
      </c>
      <c r="E70" t="s">
        <v>665</v>
      </c>
      <c r="F70" t="s">
        <v>1154</v>
      </c>
    </row>
    <row r="71" spans="1:6" x14ac:dyDescent="0.35">
      <c r="A71" t="s">
        <v>199</v>
      </c>
      <c r="B71" t="s">
        <v>200</v>
      </c>
      <c r="C71" t="s">
        <v>666</v>
      </c>
      <c r="D71" t="s">
        <v>994</v>
      </c>
      <c r="E71" t="s">
        <v>667</v>
      </c>
      <c r="F71" t="s">
        <v>1155</v>
      </c>
    </row>
    <row r="72" spans="1:6" x14ac:dyDescent="0.35">
      <c r="A72" t="s">
        <v>201</v>
      </c>
      <c r="B72" t="s">
        <v>202</v>
      </c>
      <c r="C72" t="s">
        <v>668</v>
      </c>
      <c r="D72" t="s">
        <v>995</v>
      </c>
      <c r="E72" t="s">
        <v>669</v>
      </c>
      <c r="F72" t="s">
        <v>1156</v>
      </c>
    </row>
    <row r="73" spans="1:6" x14ac:dyDescent="0.35">
      <c r="A73" t="s">
        <v>204</v>
      </c>
      <c r="B73" t="s">
        <v>205</v>
      </c>
      <c r="C73" t="s">
        <v>670</v>
      </c>
      <c r="D73" t="s">
        <v>996</v>
      </c>
      <c r="E73" t="s">
        <v>671</v>
      </c>
      <c r="F73" t="s">
        <v>1157</v>
      </c>
    </row>
    <row r="74" spans="1:6" x14ac:dyDescent="0.35">
      <c r="A74" t="s">
        <v>207</v>
      </c>
      <c r="B74" t="s">
        <v>208</v>
      </c>
      <c r="C74" t="s">
        <v>672</v>
      </c>
      <c r="D74" t="s">
        <v>997</v>
      </c>
      <c r="E74" t="s">
        <v>673</v>
      </c>
      <c r="F74" t="s">
        <v>1158</v>
      </c>
    </row>
    <row r="75" spans="1:6" x14ac:dyDescent="0.35">
      <c r="A75" t="s">
        <v>209</v>
      </c>
      <c r="B75" t="s">
        <v>210</v>
      </c>
      <c r="C75" t="s">
        <v>674</v>
      </c>
      <c r="D75" t="s">
        <v>998</v>
      </c>
      <c r="E75" t="s">
        <v>675</v>
      </c>
      <c r="F75" t="s">
        <v>1159</v>
      </c>
    </row>
    <row r="76" spans="1:6" x14ac:dyDescent="0.35">
      <c r="A76" t="s">
        <v>212</v>
      </c>
      <c r="B76" t="s">
        <v>213</v>
      </c>
      <c r="C76" t="s">
        <v>676</v>
      </c>
      <c r="D76" t="s">
        <v>999</v>
      </c>
      <c r="E76" t="s">
        <v>677</v>
      </c>
      <c r="F76" t="s">
        <v>1160</v>
      </c>
    </row>
    <row r="77" spans="1:6" x14ac:dyDescent="0.35">
      <c r="A77" t="s">
        <v>214</v>
      </c>
      <c r="B77" t="s">
        <v>215</v>
      </c>
      <c r="C77" t="s">
        <v>678</v>
      </c>
      <c r="D77" t="s">
        <v>1000</v>
      </c>
      <c r="E77" t="s">
        <v>679</v>
      </c>
      <c r="F77" t="s">
        <v>1161</v>
      </c>
    </row>
    <row r="78" spans="1:6" x14ac:dyDescent="0.35">
      <c r="A78" t="s">
        <v>217</v>
      </c>
      <c r="B78" t="s">
        <v>218</v>
      </c>
      <c r="C78" t="s">
        <v>680</v>
      </c>
      <c r="D78" t="s">
        <v>1001</v>
      </c>
      <c r="E78" t="s">
        <v>681</v>
      </c>
      <c r="F78" t="s">
        <v>1162</v>
      </c>
    </row>
    <row r="79" spans="1:6" x14ac:dyDescent="0.35">
      <c r="A79" t="s">
        <v>220</v>
      </c>
      <c r="B79" t="s">
        <v>221</v>
      </c>
      <c r="C79" t="s">
        <v>682</v>
      </c>
      <c r="D79" t="s">
        <v>1002</v>
      </c>
      <c r="E79" t="s">
        <v>683</v>
      </c>
      <c r="F79" t="s">
        <v>1163</v>
      </c>
    </row>
    <row r="80" spans="1:6" x14ac:dyDescent="0.35">
      <c r="A80" t="s">
        <v>223</v>
      </c>
      <c r="B80" t="s">
        <v>224</v>
      </c>
      <c r="C80" t="s">
        <v>684</v>
      </c>
      <c r="D80" t="s">
        <v>1003</v>
      </c>
      <c r="E80" t="s">
        <v>685</v>
      </c>
      <c r="F80" t="s">
        <v>1164</v>
      </c>
    </row>
    <row r="81" spans="1:6" x14ac:dyDescent="0.35">
      <c r="A81" t="s">
        <v>225</v>
      </c>
      <c r="B81" t="s">
        <v>226</v>
      </c>
      <c r="C81" t="s">
        <v>686</v>
      </c>
      <c r="D81" t="s">
        <v>1004</v>
      </c>
      <c r="E81" t="s">
        <v>687</v>
      </c>
      <c r="F81" t="s">
        <v>1165</v>
      </c>
    </row>
    <row r="82" spans="1:6" x14ac:dyDescent="0.35">
      <c r="A82" t="s">
        <v>228</v>
      </c>
      <c r="B82" t="s">
        <v>229</v>
      </c>
      <c r="C82" t="s">
        <v>688</v>
      </c>
      <c r="D82" t="s">
        <v>1005</v>
      </c>
      <c r="E82" t="s">
        <v>689</v>
      </c>
      <c r="F82" t="s">
        <v>1166</v>
      </c>
    </row>
    <row r="83" spans="1:6" x14ac:dyDescent="0.35">
      <c r="A83" t="s">
        <v>231</v>
      </c>
      <c r="B83" t="s">
        <v>232</v>
      </c>
      <c r="C83" t="s">
        <v>690</v>
      </c>
      <c r="D83" t="s">
        <v>1006</v>
      </c>
      <c r="E83" t="s">
        <v>691</v>
      </c>
      <c r="F83" t="s">
        <v>1167</v>
      </c>
    </row>
    <row r="84" spans="1:6" x14ac:dyDescent="0.35">
      <c r="A84" t="s">
        <v>234</v>
      </c>
      <c r="B84" t="s">
        <v>235</v>
      </c>
      <c r="C84" t="s">
        <v>692</v>
      </c>
      <c r="D84" t="s">
        <v>1007</v>
      </c>
      <c r="E84" t="s">
        <v>693</v>
      </c>
      <c r="F84" t="s">
        <v>1168</v>
      </c>
    </row>
    <row r="85" spans="1:6" x14ac:dyDescent="0.35">
      <c r="A85" t="s">
        <v>236</v>
      </c>
      <c r="B85" t="s">
        <v>237</v>
      </c>
      <c r="C85" t="s">
        <v>694</v>
      </c>
      <c r="D85" t="s">
        <v>1008</v>
      </c>
      <c r="E85" t="s">
        <v>695</v>
      </c>
      <c r="F85" t="s">
        <v>1169</v>
      </c>
    </row>
    <row r="86" spans="1:6" x14ac:dyDescent="0.35">
      <c r="A86" t="s">
        <v>239</v>
      </c>
      <c r="B86" t="s">
        <v>240</v>
      </c>
      <c r="C86" t="s">
        <v>696</v>
      </c>
      <c r="D86" t="s">
        <v>1009</v>
      </c>
      <c r="E86" t="s">
        <v>697</v>
      </c>
      <c r="F86" t="s">
        <v>1170</v>
      </c>
    </row>
    <row r="87" spans="1:6" x14ac:dyDescent="0.35">
      <c r="A87" t="s">
        <v>241</v>
      </c>
      <c r="B87" t="s">
        <v>242</v>
      </c>
      <c r="C87" t="s">
        <v>698</v>
      </c>
      <c r="D87" t="s">
        <v>1010</v>
      </c>
      <c r="E87" t="s">
        <v>699</v>
      </c>
      <c r="F87" t="s">
        <v>1171</v>
      </c>
    </row>
    <row r="88" spans="1:6" x14ac:dyDescent="0.35">
      <c r="A88" t="s">
        <v>243</v>
      </c>
      <c r="B88" t="s">
        <v>244</v>
      </c>
      <c r="C88" t="s">
        <v>700</v>
      </c>
      <c r="D88" t="s">
        <v>1011</v>
      </c>
      <c r="E88" t="s">
        <v>701</v>
      </c>
      <c r="F88" t="s">
        <v>1172</v>
      </c>
    </row>
    <row r="89" spans="1:6" x14ac:dyDescent="0.35">
      <c r="A89" t="s">
        <v>246</v>
      </c>
      <c r="B89" t="s">
        <v>247</v>
      </c>
      <c r="C89" t="s">
        <v>702</v>
      </c>
      <c r="D89" t="s">
        <v>1012</v>
      </c>
      <c r="E89" t="s">
        <v>703</v>
      </c>
      <c r="F89" t="s">
        <v>1103</v>
      </c>
    </row>
    <row r="90" spans="1:6" x14ac:dyDescent="0.35">
      <c r="A90" t="s">
        <v>248</v>
      </c>
      <c r="B90" t="s">
        <v>249</v>
      </c>
      <c r="C90" t="s">
        <v>704</v>
      </c>
      <c r="D90" t="s">
        <v>1013</v>
      </c>
      <c r="E90" t="s">
        <v>705</v>
      </c>
      <c r="F90" t="s">
        <v>1173</v>
      </c>
    </row>
    <row r="91" spans="1:6" x14ac:dyDescent="0.35">
      <c r="A91" t="s">
        <v>251</v>
      </c>
      <c r="B91" t="s">
        <v>252</v>
      </c>
      <c r="C91" t="s">
        <v>706</v>
      </c>
      <c r="D91" t="s">
        <v>1014</v>
      </c>
      <c r="E91" t="s">
        <v>707</v>
      </c>
      <c r="F91" t="s">
        <v>1174</v>
      </c>
    </row>
    <row r="92" spans="1:6" x14ac:dyDescent="0.35">
      <c r="A92" t="s">
        <v>253</v>
      </c>
      <c r="B92" t="s">
        <v>254</v>
      </c>
      <c r="C92" t="s">
        <v>708</v>
      </c>
      <c r="D92" t="s">
        <v>1015</v>
      </c>
      <c r="E92" t="s">
        <v>709</v>
      </c>
      <c r="F92" t="s">
        <v>1175</v>
      </c>
    </row>
    <row r="93" spans="1:6" x14ac:dyDescent="0.35">
      <c r="A93" t="s">
        <v>255</v>
      </c>
      <c r="B93" t="s">
        <v>256</v>
      </c>
      <c r="C93" t="s">
        <v>710</v>
      </c>
      <c r="D93" t="s">
        <v>1016</v>
      </c>
      <c r="E93" t="s">
        <v>711</v>
      </c>
      <c r="F93" t="s">
        <v>1176</v>
      </c>
    </row>
    <row r="94" spans="1:6" x14ac:dyDescent="0.35">
      <c r="A94" t="s">
        <v>258</v>
      </c>
      <c r="B94" t="s">
        <v>259</v>
      </c>
      <c r="C94" t="s">
        <v>712</v>
      </c>
      <c r="D94" t="s">
        <v>1017</v>
      </c>
      <c r="E94" t="s">
        <v>713</v>
      </c>
      <c r="F94" t="s">
        <v>1177</v>
      </c>
    </row>
    <row r="95" spans="1:6" x14ac:dyDescent="0.35">
      <c r="A95" t="s">
        <v>260</v>
      </c>
      <c r="B95" t="s">
        <v>261</v>
      </c>
      <c r="C95" t="s">
        <v>714</v>
      </c>
      <c r="D95" t="s">
        <v>1018</v>
      </c>
      <c r="E95" t="s">
        <v>715</v>
      </c>
      <c r="F95" t="s">
        <v>1178</v>
      </c>
    </row>
    <row r="96" spans="1:6" x14ac:dyDescent="0.35">
      <c r="A96" t="s">
        <v>262</v>
      </c>
      <c r="B96" t="s">
        <v>263</v>
      </c>
      <c r="C96" t="s">
        <v>716</v>
      </c>
      <c r="D96" t="s">
        <v>1019</v>
      </c>
      <c r="E96" t="s">
        <v>717</v>
      </c>
      <c r="F96" t="s">
        <v>1179</v>
      </c>
    </row>
    <row r="97" spans="1:6" x14ac:dyDescent="0.35">
      <c r="A97" t="s">
        <v>265</v>
      </c>
      <c r="B97" t="s">
        <v>266</v>
      </c>
      <c r="C97" t="s">
        <v>718</v>
      </c>
      <c r="D97" t="s">
        <v>1020</v>
      </c>
      <c r="E97" t="s">
        <v>719</v>
      </c>
      <c r="F97" t="s">
        <v>1180</v>
      </c>
    </row>
    <row r="98" spans="1:6" x14ac:dyDescent="0.35">
      <c r="A98" t="s">
        <v>267</v>
      </c>
      <c r="B98" t="s">
        <v>268</v>
      </c>
      <c r="C98" t="s">
        <v>720</v>
      </c>
      <c r="D98" t="s">
        <v>1021</v>
      </c>
      <c r="E98" t="s">
        <v>721</v>
      </c>
      <c r="F98" t="s">
        <v>1181</v>
      </c>
    </row>
    <row r="99" spans="1:6" x14ac:dyDescent="0.35">
      <c r="A99" t="s">
        <v>269</v>
      </c>
      <c r="B99" t="s">
        <v>270</v>
      </c>
      <c r="C99" t="s">
        <v>722</v>
      </c>
      <c r="D99" t="s">
        <v>1021</v>
      </c>
      <c r="E99" t="s">
        <v>723</v>
      </c>
      <c r="F99" t="s">
        <v>1182</v>
      </c>
    </row>
    <row r="100" spans="1:6" x14ac:dyDescent="0.35">
      <c r="A100" t="s">
        <v>271</v>
      </c>
      <c r="B100" t="s">
        <v>272</v>
      </c>
      <c r="C100" t="s">
        <v>724</v>
      </c>
      <c r="D100" t="s">
        <v>1022</v>
      </c>
      <c r="E100" t="s">
        <v>725</v>
      </c>
      <c r="F100" t="s">
        <v>1183</v>
      </c>
    </row>
    <row r="101" spans="1:6" x14ac:dyDescent="0.35">
      <c r="A101" t="s">
        <v>274</v>
      </c>
      <c r="B101" t="s">
        <v>275</v>
      </c>
      <c r="C101" t="s">
        <v>726</v>
      </c>
      <c r="D101" t="s">
        <v>1023</v>
      </c>
      <c r="E101" t="s">
        <v>727</v>
      </c>
      <c r="F101" t="s">
        <v>1184</v>
      </c>
    </row>
    <row r="102" spans="1:6" x14ac:dyDescent="0.35">
      <c r="A102" t="s">
        <v>277</v>
      </c>
      <c r="B102" t="s">
        <v>278</v>
      </c>
      <c r="C102" t="s">
        <v>728</v>
      </c>
      <c r="D102" t="s">
        <v>1024</v>
      </c>
      <c r="E102" t="s">
        <v>729</v>
      </c>
      <c r="F102" t="s">
        <v>1185</v>
      </c>
    </row>
    <row r="103" spans="1:6" x14ac:dyDescent="0.35">
      <c r="A103" t="s">
        <v>279</v>
      </c>
      <c r="B103" t="s">
        <v>280</v>
      </c>
      <c r="C103" t="s">
        <v>730</v>
      </c>
      <c r="D103" t="s">
        <v>1025</v>
      </c>
      <c r="E103" t="s">
        <v>731</v>
      </c>
      <c r="F103" t="s">
        <v>1186</v>
      </c>
    </row>
    <row r="104" spans="1:6" x14ac:dyDescent="0.35">
      <c r="A104" t="s">
        <v>281</v>
      </c>
      <c r="B104" t="s">
        <v>282</v>
      </c>
      <c r="C104" t="s">
        <v>732</v>
      </c>
      <c r="D104" t="s">
        <v>1025</v>
      </c>
      <c r="E104" t="s">
        <v>733</v>
      </c>
      <c r="F104" t="s">
        <v>1187</v>
      </c>
    </row>
    <row r="105" spans="1:6" x14ac:dyDescent="0.35">
      <c r="A105" t="s">
        <v>284</v>
      </c>
      <c r="B105" t="s">
        <v>285</v>
      </c>
      <c r="C105" t="s">
        <v>734</v>
      </c>
      <c r="D105" t="s">
        <v>1024</v>
      </c>
      <c r="E105" t="s">
        <v>735</v>
      </c>
      <c r="F105" t="s">
        <v>1188</v>
      </c>
    </row>
    <row r="106" spans="1:6" x14ac:dyDescent="0.35">
      <c r="A106" t="s">
        <v>287</v>
      </c>
      <c r="B106" t="s">
        <v>288</v>
      </c>
      <c r="C106" t="s">
        <v>736</v>
      </c>
      <c r="D106" t="s">
        <v>1024</v>
      </c>
      <c r="E106" t="s">
        <v>737</v>
      </c>
      <c r="F106" t="s">
        <v>1189</v>
      </c>
    </row>
    <row r="107" spans="1:6" x14ac:dyDescent="0.35">
      <c r="A107" t="s">
        <v>289</v>
      </c>
      <c r="B107" t="s">
        <v>290</v>
      </c>
      <c r="C107" t="s">
        <v>738</v>
      </c>
      <c r="D107" t="s">
        <v>1026</v>
      </c>
      <c r="E107" t="s">
        <v>739</v>
      </c>
      <c r="F107" t="s">
        <v>1190</v>
      </c>
    </row>
    <row r="108" spans="1:6" x14ac:dyDescent="0.35">
      <c r="A108" t="s">
        <v>291</v>
      </c>
      <c r="B108" t="s">
        <v>292</v>
      </c>
      <c r="C108" t="s">
        <v>740</v>
      </c>
      <c r="D108" t="s">
        <v>1027</v>
      </c>
      <c r="E108" t="s">
        <v>741</v>
      </c>
      <c r="F108" t="s">
        <v>1191</v>
      </c>
    </row>
    <row r="109" spans="1:6" x14ac:dyDescent="0.35">
      <c r="A109" t="s">
        <v>294</v>
      </c>
      <c r="B109" t="s">
        <v>295</v>
      </c>
      <c r="C109" t="s">
        <v>742</v>
      </c>
      <c r="D109" t="s">
        <v>1028</v>
      </c>
      <c r="E109" t="s">
        <v>743</v>
      </c>
      <c r="F109" t="s">
        <v>1192</v>
      </c>
    </row>
    <row r="110" spans="1:6" x14ac:dyDescent="0.35">
      <c r="A110" t="s">
        <v>297</v>
      </c>
      <c r="B110" t="s">
        <v>298</v>
      </c>
      <c r="C110" t="s">
        <v>744</v>
      </c>
      <c r="D110" t="s">
        <v>1029</v>
      </c>
      <c r="E110" t="s">
        <v>745</v>
      </c>
      <c r="F110" t="s">
        <v>1193</v>
      </c>
    </row>
    <row r="111" spans="1:6" x14ac:dyDescent="0.35">
      <c r="A111" t="s">
        <v>299</v>
      </c>
      <c r="B111" t="s">
        <v>300</v>
      </c>
      <c r="C111" t="s">
        <v>746</v>
      </c>
      <c r="D111" t="s">
        <v>1030</v>
      </c>
      <c r="E111" t="s">
        <v>747</v>
      </c>
      <c r="F111" t="s">
        <v>1194</v>
      </c>
    </row>
    <row r="112" spans="1:6" x14ac:dyDescent="0.35">
      <c r="A112" t="s">
        <v>302</v>
      </c>
      <c r="B112" t="s">
        <v>303</v>
      </c>
      <c r="C112" t="s">
        <v>748</v>
      </c>
      <c r="D112" t="s">
        <v>1031</v>
      </c>
      <c r="E112" t="s">
        <v>749</v>
      </c>
      <c r="F112" t="s">
        <v>1195</v>
      </c>
    </row>
    <row r="113" spans="1:6" x14ac:dyDescent="0.35">
      <c r="A113" t="s">
        <v>304</v>
      </c>
      <c r="B113" t="s">
        <v>305</v>
      </c>
      <c r="C113" t="s">
        <v>750</v>
      </c>
      <c r="D113" t="s">
        <v>1032</v>
      </c>
      <c r="E113" t="s">
        <v>751</v>
      </c>
      <c r="F113" t="s">
        <v>1196</v>
      </c>
    </row>
    <row r="114" spans="1:6" x14ac:dyDescent="0.35">
      <c r="A114" t="s">
        <v>306</v>
      </c>
      <c r="B114" t="s">
        <v>307</v>
      </c>
      <c r="C114" t="s">
        <v>752</v>
      </c>
      <c r="D114" t="s">
        <v>1033</v>
      </c>
      <c r="E114" t="s">
        <v>753</v>
      </c>
      <c r="F114" t="s">
        <v>1197</v>
      </c>
    </row>
    <row r="115" spans="1:6" x14ac:dyDescent="0.35">
      <c r="A115" t="s">
        <v>309</v>
      </c>
      <c r="B115" t="s">
        <v>310</v>
      </c>
      <c r="C115" t="s">
        <v>754</v>
      </c>
      <c r="D115" t="s">
        <v>1032</v>
      </c>
      <c r="E115" t="s">
        <v>755</v>
      </c>
      <c r="F115" t="s">
        <v>1198</v>
      </c>
    </row>
    <row r="116" spans="1:6" x14ac:dyDescent="0.35">
      <c r="A116" t="s">
        <v>312</v>
      </c>
      <c r="B116" t="s">
        <v>28</v>
      </c>
      <c r="C116" t="s">
        <v>756</v>
      </c>
      <c r="D116" t="s">
        <v>1034</v>
      </c>
      <c r="E116" t="s">
        <v>757</v>
      </c>
      <c r="F116" t="s">
        <v>1199</v>
      </c>
    </row>
    <row r="117" spans="1:6" x14ac:dyDescent="0.35">
      <c r="A117" t="s">
        <v>314</v>
      </c>
      <c r="B117" t="s">
        <v>315</v>
      </c>
      <c r="C117" t="s">
        <v>758</v>
      </c>
      <c r="D117" t="s">
        <v>1035</v>
      </c>
      <c r="E117" t="s">
        <v>759</v>
      </c>
      <c r="F117" t="s">
        <v>1200</v>
      </c>
    </row>
    <row r="118" spans="1:6" x14ac:dyDescent="0.35">
      <c r="A118" t="s">
        <v>316</v>
      </c>
      <c r="B118" t="s">
        <v>317</v>
      </c>
      <c r="C118" t="s">
        <v>760</v>
      </c>
      <c r="D118" t="s">
        <v>1036</v>
      </c>
      <c r="E118" t="s">
        <v>761</v>
      </c>
      <c r="F118" t="s">
        <v>1201</v>
      </c>
    </row>
    <row r="119" spans="1:6" x14ac:dyDescent="0.35">
      <c r="A119" t="s">
        <v>319</v>
      </c>
      <c r="B119" t="s">
        <v>320</v>
      </c>
      <c r="C119" t="s">
        <v>762</v>
      </c>
      <c r="D119" t="s">
        <v>1035</v>
      </c>
      <c r="E119" t="s">
        <v>763</v>
      </c>
      <c r="F119" t="s">
        <v>1202</v>
      </c>
    </row>
    <row r="120" spans="1:6" x14ac:dyDescent="0.35">
      <c r="A120" t="s">
        <v>321</v>
      </c>
      <c r="B120" t="s">
        <v>322</v>
      </c>
      <c r="C120" t="s">
        <v>764</v>
      </c>
      <c r="D120" t="s">
        <v>1037</v>
      </c>
      <c r="E120" t="s">
        <v>765</v>
      </c>
      <c r="F120" t="s">
        <v>1203</v>
      </c>
    </row>
    <row r="121" spans="1:6" x14ac:dyDescent="0.35">
      <c r="A121" t="s">
        <v>324</v>
      </c>
      <c r="B121" t="s">
        <v>325</v>
      </c>
      <c r="C121" t="s">
        <v>766</v>
      </c>
      <c r="D121" t="s">
        <v>1037</v>
      </c>
      <c r="E121" t="s">
        <v>767</v>
      </c>
      <c r="F121" t="s">
        <v>1204</v>
      </c>
    </row>
    <row r="122" spans="1:6" x14ac:dyDescent="0.35">
      <c r="A122" t="s">
        <v>327</v>
      </c>
      <c r="B122" t="s">
        <v>328</v>
      </c>
      <c r="C122" t="s">
        <v>768</v>
      </c>
      <c r="D122" t="s">
        <v>1038</v>
      </c>
      <c r="E122" t="s">
        <v>751</v>
      </c>
      <c r="F122" t="s">
        <v>1205</v>
      </c>
    </row>
    <row r="123" spans="1:6" x14ac:dyDescent="0.35">
      <c r="A123" t="s">
        <v>329</v>
      </c>
      <c r="B123" t="s">
        <v>329</v>
      </c>
      <c r="C123" t="s">
        <v>769</v>
      </c>
      <c r="D123" t="s">
        <v>1038</v>
      </c>
      <c r="E123" t="s">
        <v>770</v>
      </c>
      <c r="F123" t="s">
        <v>1206</v>
      </c>
    </row>
    <row r="124" spans="1:6" x14ac:dyDescent="0.35">
      <c r="A124" t="s">
        <v>330</v>
      </c>
      <c r="B124" t="s">
        <v>331</v>
      </c>
      <c r="C124" t="s">
        <v>771</v>
      </c>
      <c r="D124" t="s">
        <v>1039</v>
      </c>
      <c r="E124" t="s">
        <v>772</v>
      </c>
      <c r="F124" t="s">
        <v>1207</v>
      </c>
    </row>
    <row r="125" spans="1:6" x14ac:dyDescent="0.35">
      <c r="A125" t="s">
        <v>332</v>
      </c>
      <c r="B125" t="s">
        <v>333</v>
      </c>
      <c r="C125" t="s">
        <v>773</v>
      </c>
      <c r="D125" t="s">
        <v>1040</v>
      </c>
      <c r="E125" t="s">
        <v>774</v>
      </c>
      <c r="F125" t="s">
        <v>1208</v>
      </c>
    </row>
    <row r="126" spans="1:6" x14ac:dyDescent="0.35">
      <c r="A126" t="s">
        <v>334</v>
      </c>
      <c r="B126" t="s">
        <v>335</v>
      </c>
      <c r="C126" t="s">
        <v>775</v>
      </c>
      <c r="D126" t="s">
        <v>1039</v>
      </c>
      <c r="E126" t="s">
        <v>776</v>
      </c>
      <c r="F126" t="s">
        <v>1209</v>
      </c>
    </row>
    <row r="127" spans="1:6" x14ac:dyDescent="0.35">
      <c r="A127" t="s">
        <v>336</v>
      </c>
      <c r="B127" t="s">
        <v>337</v>
      </c>
      <c r="C127" t="s">
        <v>777</v>
      </c>
      <c r="D127" t="s">
        <v>1039</v>
      </c>
      <c r="E127" t="s">
        <v>778</v>
      </c>
      <c r="F127" t="s">
        <v>1210</v>
      </c>
    </row>
    <row r="128" spans="1:6" x14ac:dyDescent="0.35">
      <c r="A128" t="s">
        <v>338</v>
      </c>
      <c r="B128" t="s">
        <v>339</v>
      </c>
      <c r="C128" t="s">
        <v>779</v>
      </c>
      <c r="D128" t="s">
        <v>1041</v>
      </c>
      <c r="E128" t="s">
        <v>780</v>
      </c>
      <c r="F128" t="s">
        <v>1211</v>
      </c>
    </row>
    <row r="129" spans="1:6" x14ac:dyDescent="0.35">
      <c r="A129" t="s">
        <v>341</v>
      </c>
      <c r="B129" t="s">
        <v>342</v>
      </c>
      <c r="C129" t="s">
        <v>781</v>
      </c>
      <c r="D129" t="s">
        <v>1042</v>
      </c>
      <c r="E129" t="s">
        <v>751</v>
      </c>
      <c r="F129" t="s">
        <v>1212</v>
      </c>
    </row>
    <row r="130" spans="1:6" x14ac:dyDescent="0.35">
      <c r="A130" t="s">
        <v>343</v>
      </c>
      <c r="B130" t="s">
        <v>344</v>
      </c>
      <c r="C130" t="s">
        <v>782</v>
      </c>
      <c r="D130" t="s">
        <v>1043</v>
      </c>
      <c r="E130" t="s">
        <v>783</v>
      </c>
      <c r="F130" t="s">
        <v>1213</v>
      </c>
    </row>
    <row r="131" spans="1:6" x14ac:dyDescent="0.35">
      <c r="A131" t="s">
        <v>345</v>
      </c>
      <c r="B131" t="s">
        <v>346</v>
      </c>
      <c r="C131" t="s">
        <v>784</v>
      </c>
      <c r="D131" t="s">
        <v>1044</v>
      </c>
      <c r="E131" t="s">
        <v>785</v>
      </c>
      <c r="F131" t="s">
        <v>1214</v>
      </c>
    </row>
    <row r="132" spans="1:6" x14ac:dyDescent="0.35">
      <c r="A132" t="s">
        <v>348</v>
      </c>
      <c r="B132" t="s">
        <v>349</v>
      </c>
      <c r="C132" t="s">
        <v>786</v>
      </c>
      <c r="D132" t="s">
        <v>1045</v>
      </c>
      <c r="E132" t="s">
        <v>787</v>
      </c>
      <c r="F132" t="s">
        <v>1215</v>
      </c>
    </row>
    <row r="133" spans="1:6" x14ac:dyDescent="0.35">
      <c r="A133" t="s">
        <v>350</v>
      </c>
      <c r="B133" t="s">
        <v>351</v>
      </c>
      <c r="C133" t="s">
        <v>788</v>
      </c>
      <c r="D133" t="s">
        <v>1046</v>
      </c>
      <c r="E133" t="s">
        <v>789</v>
      </c>
      <c r="F133" t="s">
        <v>1216</v>
      </c>
    </row>
    <row r="134" spans="1:6" x14ac:dyDescent="0.35">
      <c r="A134" t="s">
        <v>352</v>
      </c>
      <c r="B134" t="s">
        <v>353</v>
      </c>
      <c r="C134" t="s">
        <v>790</v>
      </c>
      <c r="D134" t="s">
        <v>1047</v>
      </c>
      <c r="E134" t="s">
        <v>791</v>
      </c>
      <c r="F134" t="s">
        <v>1217</v>
      </c>
    </row>
    <row r="135" spans="1:6" x14ac:dyDescent="0.35">
      <c r="A135" t="s">
        <v>354</v>
      </c>
      <c r="B135" t="s">
        <v>355</v>
      </c>
      <c r="C135" t="s">
        <v>792</v>
      </c>
      <c r="D135" t="s">
        <v>1048</v>
      </c>
      <c r="E135" t="s">
        <v>793</v>
      </c>
      <c r="F135" t="s">
        <v>1218</v>
      </c>
    </row>
    <row r="136" spans="1:6" x14ac:dyDescent="0.35">
      <c r="A136" t="s">
        <v>356</v>
      </c>
      <c r="B136" t="s">
        <v>357</v>
      </c>
      <c r="C136" t="s">
        <v>794</v>
      </c>
      <c r="D136" t="s">
        <v>1049</v>
      </c>
      <c r="E136" t="s">
        <v>795</v>
      </c>
      <c r="F136" t="s">
        <v>1219</v>
      </c>
    </row>
    <row r="137" spans="1:6" x14ac:dyDescent="0.35">
      <c r="A137" t="s">
        <v>359</v>
      </c>
      <c r="B137" t="s">
        <v>360</v>
      </c>
      <c r="C137" t="s">
        <v>796</v>
      </c>
      <c r="D137" t="s">
        <v>1050</v>
      </c>
      <c r="E137" t="s">
        <v>797</v>
      </c>
      <c r="F137" t="s">
        <v>1220</v>
      </c>
    </row>
    <row r="138" spans="1:6" x14ac:dyDescent="0.35">
      <c r="A138" t="s">
        <v>362</v>
      </c>
      <c r="B138" t="s">
        <v>363</v>
      </c>
      <c r="C138" t="s">
        <v>798</v>
      </c>
      <c r="D138" t="s">
        <v>1050</v>
      </c>
      <c r="E138" t="s">
        <v>799</v>
      </c>
      <c r="F138" t="s">
        <v>1221</v>
      </c>
    </row>
    <row r="139" spans="1:6" x14ac:dyDescent="0.35">
      <c r="A139" t="s">
        <v>364</v>
      </c>
      <c r="B139" t="s">
        <v>365</v>
      </c>
      <c r="C139" t="s">
        <v>800</v>
      </c>
      <c r="D139" t="s">
        <v>1051</v>
      </c>
      <c r="E139" t="s">
        <v>801</v>
      </c>
      <c r="F139" t="s">
        <v>1222</v>
      </c>
    </row>
    <row r="140" spans="1:6" x14ac:dyDescent="0.35">
      <c r="A140" t="s">
        <v>367</v>
      </c>
      <c r="B140" t="s">
        <v>368</v>
      </c>
      <c r="C140" t="s">
        <v>802</v>
      </c>
      <c r="D140" t="s">
        <v>1051</v>
      </c>
      <c r="E140" t="s">
        <v>803</v>
      </c>
      <c r="F140" t="s">
        <v>1223</v>
      </c>
    </row>
    <row r="141" spans="1:6" x14ac:dyDescent="0.35">
      <c r="A141" t="s">
        <v>369</v>
      </c>
      <c r="B141" t="s">
        <v>370</v>
      </c>
      <c r="C141" t="s">
        <v>804</v>
      </c>
      <c r="D141" t="s">
        <v>1052</v>
      </c>
      <c r="E141" t="s">
        <v>805</v>
      </c>
      <c r="F141" t="s">
        <v>1224</v>
      </c>
    </row>
    <row r="142" spans="1:6" x14ac:dyDescent="0.35">
      <c r="A142" t="s">
        <v>372</v>
      </c>
      <c r="B142" t="s">
        <v>373</v>
      </c>
      <c r="C142" t="s">
        <v>806</v>
      </c>
      <c r="D142" t="s">
        <v>1053</v>
      </c>
      <c r="E142" t="s">
        <v>807</v>
      </c>
      <c r="F142" t="s">
        <v>1225</v>
      </c>
    </row>
    <row r="143" spans="1:6" x14ac:dyDescent="0.35">
      <c r="A143" t="s">
        <v>374</v>
      </c>
      <c r="B143" t="s">
        <v>375</v>
      </c>
      <c r="C143" t="s">
        <v>808</v>
      </c>
      <c r="D143" t="s">
        <v>1054</v>
      </c>
      <c r="E143" t="s">
        <v>809</v>
      </c>
      <c r="F143" t="s">
        <v>1226</v>
      </c>
    </row>
    <row r="144" spans="1:6" x14ac:dyDescent="0.35">
      <c r="A144" t="s">
        <v>377</v>
      </c>
      <c r="B144" t="s">
        <v>378</v>
      </c>
      <c r="C144" t="s">
        <v>810</v>
      </c>
      <c r="D144" t="s">
        <v>1055</v>
      </c>
      <c r="E144" t="s">
        <v>811</v>
      </c>
      <c r="F144" t="s">
        <v>1227</v>
      </c>
    </row>
    <row r="145" spans="1:6" x14ac:dyDescent="0.35">
      <c r="A145" t="s">
        <v>379</v>
      </c>
      <c r="B145" t="s">
        <v>380</v>
      </c>
      <c r="C145" t="s">
        <v>812</v>
      </c>
      <c r="D145" t="s">
        <v>1056</v>
      </c>
      <c r="E145" t="s">
        <v>813</v>
      </c>
      <c r="F145" t="s">
        <v>1228</v>
      </c>
    </row>
    <row r="146" spans="1:6" x14ac:dyDescent="0.35">
      <c r="A146" t="s">
        <v>381</v>
      </c>
      <c r="B146" t="s">
        <v>381</v>
      </c>
      <c r="C146" t="s">
        <v>814</v>
      </c>
      <c r="D146" t="s">
        <v>1057</v>
      </c>
      <c r="E146" t="s">
        <v>815</v>
      </c>
      <c r="F146" t="s">
        <v>1229</v>
      </c>
    </row>
    <row r="147" spans="1:6" x14ac:dyDescent="0.35">
      <c r="A147" t="s">
        <v>382</v>
      </c>
      <c r="B147" t="s">
        <v>383</v>
      </c>
      <c r="C147" t="s">
        <v>816</v>
      </c>
      <c r="D147" t="s">
        <v>1058</v>
      </c>
      <c r="E147" t="s">
        <v>817</v>
      </c>
      <c r="F147" t="s">
        <v>1230</v>
      </c>
    </row>
    <row r="148" spans="1:6" x14ac:dyDescent="0.35">
      <c r="A148" t="s">
        <v>384</v>
      </c>
      <c r="B148" t="s">
        <v>385</v>
      </c>
      <c r="C148" t="s">
        <v>818</v>
      </c>
      <c r="D148" t="s">
        <v>1059</v>
      </c>
      <c r="E148" t="s">
        <v>819</v>
      </c>
      <c r="F148" t="s">
        <v>1231</v>
      </c>
    </row>
    <row r="149" spans="1:6" x14ac:dyDescent="0.35">
      <c r="A149" t="s">
        <v>387</v>
      </c>
      <c r="B149" t="s">
        <v>388</v>
      </c>
      <c r="C149" t="s">
        <v>820</v>
      </c>
      <c r="D149" t="s">
        <v>1057</v>
      </c>
      <c r="E149" t="s">
        <v>821</v>
      </c>
      <c r="F149" t="s">
        <v>1232</v>
      </c>
    </row>
    <row r="150" spans="1:6" x14ac:dyDescent="0.35">
      <c r="A150" t="s">
        <v>389</v>
      </c>
      <c r="B150" t="s">
        <v>390</v>
      </c>
      <c r="C150" t="s">
        <v>822</v>
      </c>
      <c r="D150" t="s">
        <v>1060</v>
      </c>
      <c r="E150" t="s">
        <v>823</v>
      </c>
      <c r="F150" t="s">
        <v>1233</v>
      </c>
    </row>
    <row r="151" spans="1:6" x14ac:dyDescent="0.35">
      <c r="A151" t="s">
        <v>392</v>
      </c>
      <c r="B151" t="s">
        <v>392</v>
      </c>
      <c r="C151" t="s">
        <v>824</v>
      </c>
      <c r="D151" t="s">
        <v>1061</v>
      </c>
      <c r="E151" t="s">
        <v>825</v>
      </c>
      <c r="F151" t="s">
        <v>1234</v>
      </c>
    </row>
    <row r="152" spans="1:6" x14ac:dyDescent="0.35">
      <c r="A152" t="s">
        <v>394</v>
      </c>
      <c r="B152" t="s">
        <v>395</v>
      </c>
      <c r="C152" t="s">
        <v>826</v>
      </c>
      <c r="D152" t="s">
        <v>1062</v>
      </c>
      <c r="E152" t="s">
        <v>827</v>
      </c>
      <c r="F152" t="s">
        <v>1235</v>
      </c>
    </row>
    <row r="153" spans="1:6" x14ac:dyDescent="0.35">
      <c r="A153" t="s">
        <v>396</v>
      </c>
      <c r="B153" t="s">
        <v>397</v>
      </c>
      <c r="C153" t="s">
        <v>828</v>
      </c>
      <c r="D153" t="s">
        <v>1062</v>
      </c>
      <c r="E153" t="s">
        <v>829</v>
      </c>
      <c r="F153" t="s">
        <v>1236</v>
      </c>
    </row>
    <row r="154" spans="1:6" x14ac:dyDescent="0.35">
      <c r="A154" t="s">
        <v>398</v>
      </c>
      <c r="B154" t="s">
        <v>399</v>
      </c>
      <c r="C154" t="s">
        <v>830</v>
      </c>
      <c r="D154" t="s">
        <v>1062</v>
      </c>
      <c r="E154" t="s">
        <v>831</v>
      </c>
      <c r="F154" t="s">
        <v>1237</v>
      </c>
    </row>
    <row r="155" spans="1:6" x14ac:dyDescent="0.35">
      <c r="A155" t="s">
        <v>400</v>
      </c>
      <c r="B155" t="s">
        <v>401</v>
      </c>
      <c r="C155" t="s">
        <v>832</v>
      </c>
      <c r="D155" t="s">
        <v>1063</v>
      </c>
      <c r="E155" t="s">
        <v>833</v>
      </c>
      <c r="F155" t="s">
        <v>1238</v>
      </c>
    </row>
    <row r="156" spans="1:6" x14ac:dyDescent="0.35">
      <c r="A156" t="s">
        <v>403</v>
      </c>
      <c r="B156" t="s">
        <v>404</v>
      </c>
      <c r="C156" t="s">
        <v>834</v>
      </c>
      <c r="D156" t="s">
        <v>1062</v>
      </c>
      <c r="E156" t="s">
        <v>835</v>
      </c>
      <c r="F156" t="s">
        <v>1239</v>
      </c>
    </row>
    <row r="157" spans="1:6" x14ac:dyDescent="0.35">
      <c r="A157" t="s">
        <v>406</v>
      </c>
      <c r="B157" t="s">
        <v>407</v>
      </c>
      <c r="C157" t="s">
        <v>836</v>
      </c>
      <c r="D157" t="s">
        <v>1062</v>
      </c>
      <c r="E157" t="s">
        <v>837</v>
      </c>
      <c r="F157" t="s">
        <v>1240</v>
      </c>
    </row>
    <row r="158" spans="1:6" x14ac:dyDescent="0.35">
      <c r="A158" t="s">
        <v>408</v>
      </c>
      <c r="B158" t="s">
        <v>409</v>
      </c>
      <c r="C158" t="s">
        <v>838</v>
      </c>
      <c r="D158" t="s">
        <v>1064</v>
      </c>
      <c r="E158" t="s">
        <v>839</v>
      </c>
      <c r="F158" t="s">
        <v>1241</v>
      </c>
    </row>
    <row r="159" spans="1:6" x14ac:dyDescent="0.35">
      <c r="A159" t="s">
        <v>411</v>
      </c>
      <c r="B159" t="s">
        <v>412</v>
      </c>
      <c r="C159" t="s">
        <v>840</v>
      </c>
      <c r="D159" t="s">
        <v>1064</v>
      </c>
      <c r="E159" t="s">
        <v>841</v>
      </c>
      <c r="F159" t="s">
        <v>1242</v>
      </c>
    </row>
    <row r="160" spans="1:6" x14ac:dyDescent="0.35">
      <c r="A160" t="s">
        <v>413</v>
      </c>
      <c r="B160" t="s">
        <v>414</v>
      </c>
      <c r="C160" t="s">
        <v>842</v>
      </c>
      <c r="D160" t="s">
        <v>1065</v>
      </c>
      <c r="E160" t="s">
        <v>843</v>
      </c>
      <c r="F160" t="s">
        <v>1243</v>
      </c>
    </row>
    <row r="161" spans="1:6" x14ac:dyDescent="0.35">
      <c r="A161" t="s">
        <v>415</v>
      </c>
      <c r="B161" t="s">
        <v>416</v>
      </c>
      <c r="C161" t="s">
        <v>844</v>
      </c>
      <c r="D161" t="s">
        <v>1066</v>
      </c>
      <c r="E161" t="s">
        <v>845</v>
      </c>
      <c r="F161" t="s">
        <v>1244</v>
      </c>
    </row>
    <row r="162" spans="1:6" x14ac:dyDescent="0.35">
      <c r="A162" t="s">
        <v>417</v>
      </c>
      <c r="B162" t="s">
        <v>418</v>
      </c>
      <c r="C162" t="s">
        <v>846</v>
      </c>
      <c r="D162" t="s">
        <v>1067</v>
      </c>
      <c r="E162" t="s">
        <v>847</v>
      </c>
      <c r="F162" t="s">
        <v>1245</v>
      </c>
    </row>
    <row r="163" spans="1:6" x14ac:dyDescent="0.35">
      <c r="A163" t="s">
        <v>420</v>
      </c>
      <c r="B163" t="s">
        <v>421</v>
      </c>
      <c r="C163" t="s">
        <v>848</v>
      </c>
      <c r="D163" t="s">
        <v>1067</v>
      </c>
      <c r="E163" t="s">
        <v>849</v>
      </c>
      <c r="F163" t="s">
        <v>1246</v>
      </c>
    </row>
    <row r="164" spans="1:6" x14ac:dyDescent="0.35">
      <c r="A164" t="s">
        <v>423</v>
      </c>
      <c r="B164" t="s">
        <v>424</v>
      </c>
      <c r="C164" t="s">
        <v>850</v>
      </c>
      <c r="D164" t="s">
        <v>1068</v>
      </c>
      <c r="E164" t="s">
        <v>751</v>
      </c>
      <c r="F164" t="s">
        <v>1247</v>
      </c>
    </row>
    <row r="165" spans="1:6" x14ac:dyDescent="0.35">
      <c r="A165" t="s">
        <v>425</v>
      </c>
      <c r="B165" t="s">
        <v>425</v>
      </c>
      <c r="C165" t="s">
        <v>851</v>
      </c>
      <c r="D165" t="s">
        <v>1068</v>
      </c>
      <c r="E165" t="s">
        <v>852</v>
      </c>
      <c r="F165" t="s">
        <v>1103</v>
      </c>
    </row>
    <row r="166" spans="1:6" x14ac:dyDescent="0.35">
      <c r="A166" t="s">
        <v>426</v>
      </c>
      <c r="B166" t="s">
        <v>427</v>
      </c>
      <c r="C166" t="s">
        <v>853</v>
      </c>
      <c r="D166" t="s">
        <v>1069</v>
      </c>
      <c r="E166" t="s">
        <v>854</v>
      </c>
      <c r="F166" t="s">
        <v>1248</v>
      </c>
    </row>
    <row r="167" spans="1:6" x14ac:dyDescent="0.35">
      <c r="A167" t="s">
        <v>429</v>
      </c>
      <c r="B167" t="s">
        <v>430</v>
      </c>
      <c r="C167" t="s">
        <v>855</v>
      </c>
      <c r="D167" t="s">
        <v>1070</v>
      </c>
      <c r="E167" t="s">
        <v>856</v>
      </c>
      <c r="F167" t="s">
        <v>1249</v>
      </c>
    </row>
    <row r="168" spans="1:6" x14ac:dyDescent="0.35">
      <c r="A168" t="s">
        <v>431</v>
      </c>
      <c r="B168" t="s">
        <v>432</v>
      </c>
      <c r="C168" t="s">
        <v>857</v>
      </c>
      <c r="D168" t="s">
        <v>1071</v>
      </c>
      <c r="E168" t="s">
        <v>858</v>
      </c>
      <c r="F168" t="s">
        <v>1250</v>
      </c>
    </row>
    <row r="169" spans="1:6" x14ac:dyDescent="0.35">
      <c r="A169" t="s">
        <v>433</v>
      </c>
      <c r="B169" t="s">
        <v>434</v>
      </c>
      <c r="C169" t="s">
        <v>859</v>
      </c>
      <c r="D169" t="s">
        <v>1071</v>
      </c>
      <c r="E169" t="s">
        <v>860</v>
      </c>
      <c r="F169" t="s">
        <v>1099</v>
      </c>
    </row>
    <row r="170" spans="1:6" x14ac:dyDescent="0.35">
      <c r="A170" t="s">
        <v>436</v>
      </c>
      <c r="B170" t="s">
        <v>437</v>
      </c>
      <c r="C170" t="s">
        <v>861</v>
      </c>
      <c r="D170" t="s">
        <v>1072</v>
      </c>
      <c r="E170" t="s">
        <v>862</v>
      </c>
      <c r="F170" t="s">
        <v>1251</v>
      </c>
    </row>
    <row r="171" spans="1:6" x14ac:dyDescent="0.35">
      <c r="A171" t="s">
        <v>438</v>
      </c>
      <c r="B171" t="s">
        <v>438</v>
      </c>
      <c r="C171" t="s">
        <v>863</v>
      </c>
      <c r="D171" t="s">
        <v>1072</v>
      </c>
      <c r="E171" t="s">
        <v>864</v>
      </c>
      <c r="F171" t="s">
        <v>1252</v>
      </c>
    </row>
    <row r="172" spans="1:6" x14ac:dyDescent="0.35">
      <c r="A172" t="s">
        <v>440</v>
      </c>
      <c r="B172" t="s">
        <v>440</v>
      </c>
      <c r="C172" t="s">
        <v>865</v>
      </c>
      <c r="D172" t="s">
        <v>1073</v>
      </c>
      <c r="E172" t="s">
        <v>866</v>
      </c>
      <c r="F172" t="s">
        <v>1253</v>
      </c>
    </row>
    <row r="173" spans="1:6" x14ac:dyDescent="0.35">
      <c r="A173" t="s">
        <v>442</v>
      </c>
      <c r="B173" t="s">
        <v>443</v>
      </c>
      <c r="C173" t="s">
        <v>867</v>
      </c>
      <c r="D173" t="s">
        <v>1073</v>
      </c>
      <c r="E173" t="s">
        <v>868</v>
      </c>
      <c r="F173" t="s">
        <v>1099</v>
      </c>
    </row>
    <row r="174" spans="1:6" x14ac:dyDescent="0.35">
      <c r="A174" t="s">
        <v>444</v>
      </c>
      <c r="B174" t="s">
        <v>445</v>
      </c>
      <c r="C174" t="s">
        <v>869</v>
      </c>
      <c r="D174" t="s">
        <v>1074</v>
      </c>
      <c r="E174" t="s">
        <v>751</v>
      </c>
      <c r="F174" t="s">
        <v>1254</v>
      </c>
    </row>
    <row r="175" spans="1:6" x14ac:dyDescent="0.35">
      <c r="A175" t="s">
        <v>446</v>
      </c>
      <c r="B175" t="s">
        <v>446</v>
      </c>
      <c r="C175" t="s">
        <v>870</v>
      </c>
      <c r="D175" t="s">
        <v>1074</v>
      </c>
      <c r="E175" t="s">
        <v>871</v>
      </c>
      <c r="F175" t="s">
        <v>1255</v>
      </c>
    </row>
    <row r="176" spans="1:6" x14ac:dyDescent="0.35">
      <c r="A176" t="s">
        <v>448</v>
      </c>
      <c r="B176" t="s">
        <v>449</v>
      </c>
      <c r="C176" t="s">
        <v>872</v>
      </c>
      <c r="D176" t="s">
        <v>1074</v>
      </c>
      <c r="E176" t="s">
        <v>873</v>
      </c>
      <c r="F176" t="s">
        <v>1256</v>
      </c>
    </row>
    <row r="177" spans="1:6" x14ac:dyDescent="0.35">
      <c r="A177" t="s">
        <v>450</v>
      </c>
      <c r="B177" t="s">
        <v>451</v>
      </c>
      <c r="C177" t="s">
        <v>874</v>
      </c>
      <c r="D177" t="s">
        <v>1074</v>
      </c>
      <c r="E177" t="s">
        <v>875</v>
      </c>
      <c r="F177" t="s">
        <v>1257</v>
      </c>
    </row>
    <row r="178" spans="1:6" x14ac:dyDescent="0.35">
      <c r="A178" t="s">
        <v>453</v>
      </c>
      <c r="B178" t="s">
        <v>454</v>
      </c>
      <c r="C178" t="s">
        <v>876</v>
      </c>
      <c r="D178" t="s">
        <v>1075</v>
      </c>
      <c r="E178" t="s">
        <v>877</v>
      </c>
      <c r="F178" t="s">
        <v>1258</v>
      </c>
    </row>
    <row r="179" spans="1:6" x14ac:dyDescent="0.35">
      <c r="A179" t="s">
        <v>455</v>
      </c>
      <c r="B179" t="s">
        <v>456</v>
      </c>
      <c r="C179" t="s">
        <v>878</v>
      </c>
      <c r="D179" t="s">
        <v>1075</v>
      </c>
      <c r="E179" t="s">
        <v>879</v>
      </c>
      <c r="F179" t="s">
        <v>1259</v>
      </c>
    </row>
    <row r="180" spans="1:6" x14ac:dyDescent="0.35">
      <c r="A180" t="s">
        <v>458</v>
      </c>
      <c r="B180" t="s">
        <v>459</v>
      </c>
      <c r="C180" t="s">
        <v>880</v>
      </c>
      <c r="D180" t="s">
        <v>1076</v>
      </c>
      <c r="E180" t="s">
        <v>881</v>
      </c>
      <c r="F180" t="s">
        <v>1260</v>
      </c>
    </row>
    <row r="181" spans="1:6" x14ac:dyDescent="0.35">
      <c r="A181" t="s">
        <v>460</v>
      </c>
      <c r="B181" t="s">
        <v>461</v>
      </c>
      <c r="C181" t="s">
        <v>882</v>
      </c>
      <c r="D181" t="s">
        <v>1076</v>
      </c>
      <c r="E181" t="s">
        <v>883</v>
      </c>
      <c r="F181" t="s">
        <v>1261</v>
      </c>
    </row>
    <row r="182" spans="1:6" x14ac:dyDescent="0.35">
      <c r="A182" t="s">
        <v>462</v>
      </c>
      <c r="B182" t="s">
        <v>463</v>
      </c>
      <c r="C182" t="s">
        <v>884</v>
      </c>
      <c r="D182" t="s">
        <v>1077</v>
      </c>
      <c r="E182" t="s">
        <v>885</v>
      </c>
      <c r="F182" t="s">
        <v>1262</v>
      </c>
    </row>
    <row r="183" spans="1:6" x14ac:dyDescent="0.35">
      <c r="A183" t="s">
        <v>465</v>
      </c>
      <c r="B183" t="s">
        <v>466</v>
      </c>
      <c r="C183" t="s">
        <v>886</v>
      </c>
      <c r="D183" t="s">
        <v>1078</v>
      </c>
      <c r="E183" t="s">
        <v>887</v>
      </c>
      <c r="F183" t="s">
        <v>1263</v>
      </c>
    </row>
    <row r="184" spans="1:6" x14ac:dyDescent="0.35">
      <c r="A184" t="s">
        <v>467</v>
      </c>
      <c r="B184" t="s">
        <v>468</v>
      </c>
      <c r="C184" t="s">
        <v>888</v>
      </c>
      <c r="D184" t="s">
        <v>1078</v>
      </c>
      <c r="E184" t="s">
        <v>889</v>
      </c>
      <c r="F184" t="s">
        <v>1264</v>
      </c>
    </row>
    <row r="185" spans="1:6" x14ac:dyDescent="0.35">
      <c r="A185" t="s">
        <v>470</v>
      </c>
      <c r="B185" t="s">
        <v>471</v>
      </c>
      <c r="C185" t="s">
        <v>890</v>
      </c>
      <c r="D185" t="s">
        <v>1078</v>
      </c>
      <c r="E185" t="s">
        <v>891</v>
      </c>
      <c r="F185" t="s">
        <v>1265</v>
      </c>
    </row>
    <row r="186" spans="1:6" x14ac:dyDescent="0.35">
      <c r="A186" t="s">
        <v>472</v>
      </c>
      <c r="B186" t="s">
        <v>472</v>
      </c>
      <c r="C186" t="s">
        <v>892</v>
      </c>
      <c r="D186" t="s">
        <v>1079</v>
      </c>
      <c r="E186" t="s">
        <v>893</v>
      </c>
      <c r="F186" t="s">
        <v>1266</v>
      </c>
    </row>
    <row r="187" spans="1:6" x14ac:dyDescent="0.35">
      <c r="A187" t="s">
        <v>473</v>
      </c>
      <c r="B187" t="s">
        <v>474</v>
      </c>
      <c r="C187" t="s">
        <v>894</v>
      </c>
      <c r="D187" t="s">
        <v>1079</v>
      </c>
      <c r="E187" t="s">
        <v>895</v>
      </c>
      <c r="F187" t="s">
        <v>1213</v>
      </c>
    </row>
    <row r="188" spans="1:6" x14ac:dyDescent="0.35">
      <c r="A188" t="s">
        <v>475</v>
      </c>
      <c r="B188" t="s">
        <v>476</v>
      </c>
      <c r="C188" t="s">
        <v>896</v>
      </c>
      <c r="D188" t="s">
        <v>1079</v>
      </c>
      <c r="E188" t="s">
        <v>897</v>
      </c>
      <c r="F188" t="s">
        <v>1267</v>
      </c>
    </row>
    <row r="189" spans="1:6" x14ac:dyDescent="0.35">
      <c r="A189" t="s">
        <v>478</v>
      </c>
      <c r="B189" t="s">
        <v>479</v>
      </c>
      <c r="C189" t="s">
        <v>898</v>
      </c>
      <c r="D189" t="s">
        <v>1080</v>
      </c>
      <c r="E189" t="s">
        <v>751</v>
      </c>
      <c r="F189" t="s">
        <v>1268</v>
      </c>
    </row>
    <row r="190" spans="1:6" x14ac:dyDescent="0.35">
      <c r="A190" t="s">
        <v>480</v>
      </c>
      <c r="B190" t="s">
        <v>481</v>
      </c>
      <c r="C190" t="s">
        <v>899</v>
      </c>
      <c r="D190" t="s">
        <v>1080</v>
      </c>
      <c r="E190" t="s">
        <v>751</v>
      </c>
      <c r="F190" t="s">
        <v>1269</v>
      </c>
    </row>
    <row r="191" spans="1:6" x14ac:dyDescent="0.35">
      <c r="A191" t="s">
        <v>482</v>
      </c>
      <c r="B191" t="s">
        <v>483</v>
      </c>
      <c r="C191" t="s">
        <v>900</v>
      </c>
      <c r="D191" t="s">
        <v>1080</v>
      </c>
      <c r="E191" t="s">
        <v>901</v>
      </c>
      <c r="F191" t="s">
        <v>1099</v>
      </c>
    </row>
    <row r="192" spans="1:6" x14ac:dyDescent="0.35">
      <c r="A192" t="s">
        <v>484</v>
      </c>
      <c r="B192" t="s">
        <v>484</v>
      </c>
      <c r="C192" t="s">
        <v>902</v>
      </c>
      <c r="D192" t="s">
        <v>1081</v>
      </c>
      <c r="E192" t="s">
        <v>903</v>
      </c>
      <c r="F192" t="s">
        <v>1270</v>
      </c>
    </row>
    <row r="193" spans="1:6" x14ac:dyDescent="0.35">
      <c r="A193" t="s">
        <v>485</v>
      </c>
      <c r="B193" t="s">
        <v>486</v>
      </c>
      <c r="C193" t="s">
        <v>904</v>
      </c>
      <c r="D193" t="s">
        <v>1081</v>
      </c>
      <c r="E193" t="s">
        <v>905</v>
      </c>
      <c r="F193" t="s">
        <v>1271</v>
      </c>
    </row>
    <row r="194" spans="1:6" x14ac:dyDescent="0.35">
      <c r="A194" t="s">
        <v>487</v>
      </c>
      <c r="B194" t="s">
        <v>488</v>
      </c>
      <c r="C194" t="s">
        <v>906</v>
      </c>
      <c r="D194" t="s">
        <v>1081</v>
      </c>
      <c r="E194" t="s">
        <v>907</v>
      </c>
      <c r="F194" t="s">
        <v>1272</v>
      </c>
    </row>
    <row r="195" spans="1:6" x14ac:dyDescent="0.35">
      <c r="A195" t="s">
        <v>490</v>
      </c>
      <c r="B195" t="s">
        <v>491</v>
      </c>
      <c r="C195" t="s">
        <v>908</v>
      </c>
      <c r="D195" t="s">
        <v>1081</v>
      </c>
      <c r="E195" t="s">
        <v>909</v>
      </c>
      <c r="F195" t="s">
        <v>1273</v>
      </c>
    </row>
    <row r="196" spans="1:6" x14ac:dyDescent="0.35">
      <c r="A196" t="s">
        <v>493</v>
      </c>
      <c r="B196" t="s">
        <v>494</v>
      </c>
      <c r="C196" t="s">
        <v>910</v>
      </c>
      <c r="D196" t="s">
        <v>1081</v>
      </c>
      <c r="E196" t="s">
        <v>911</v>
      </c>
      <c r="F196" t="s">
        <v>1274</v>
      </c>
    </row>
    <row r="197" spans="1:6" x14ac:dyDescent="0.35">
      <c r="A197" t="s">
        <v>495</v>
      </c>
      <c r="B197" t="s">
        <v>496</v>
      </c>
      <c r="C197" t="s">
        <v>912</v>
      </c>
      <c r="D197" t="s">
        <v>1081</v>
      </c>
      <c r="E197" t="s">
        <v>913</v>
      </c>
      <c r="F197" t="s">
        <v>1275</v>
      </c>
    </row>
    <row r="198" spans="1:6" x14ac:dyDescent="0.35">
      <c r="A198" t="s">
        <v>497</v>
      </c>
      <c r="B198" t="s">
        <v>498</v>
      </c>
      <c r="C198" t="s">
        <v>914</v>
      </c>
      <c r="D198" t="s">
        <v>1082</v>
      </c>
      <c r="E198" t="s">
        <v>915</v>
      </c>
      <c r="F198" t="s">
        <v>1166</v>
      </c>
    </row>
    <row r="199" spans="1:6" x14ac:dyDescent="0.35">
      <c r="A199" t="s">
        <v>500</v>
      </c>
      <c r="B199" t="s">
        <v>501</v>
      </c>
      <c r="C199" t="s">
        <v>916</v>
      </c>
      <c r="D199" t="s">
        <v>1083</v>
      </c>
      <c r="E199" t="s">
        <v>917</v>
      </c>
      <c r="F199" t="s">
        <v>1276</v>
      </c>
    </row>
    <row r="200" spans="1:6" x14ac:dyDescent="0.35">
      <c r="A200" t="s">
        <v>503</v>
      </c>
      <c r="B200" t="s">
        <v>503</v>
      </c>
      <c r="C200" t="s">
        <v>918</v>
      </c>
      <c r="D200" t="s">
        <v>1084</v>
      </c>
      <c r="E200" t="s">
        <v>919</v>
      </c>
      <c r="F200" t="s">
        <v>1099</v>
      </c>
    </row>
    <row r="201" spans="1:6" x14ac:dyDescent="0.35">
      <c r="A201" t="s">
        <v>505</v>
      </c>
      <c r="B201" t="s">
        <v>506</v>
      </c>
      <c r="C201" t="s">
        <v>920</v>
      </c>
      <c r="D201" t="s">
        <v>1084</v>
      </c>
      <c r="E201" t="s">
        <v>921</v>
      </c>
      <c r="F201" t="s">
        <v>1277</v>
      </c>
    </row>
  </sheetData>
  <conditionalFormatting sqref="L1">
    <cfRule type="cellIs" dxfId="2" priority="6" operator="lessThan">
      <formula>0</formula>
    </cfRule>
    <cfRule type="cellIs" dxfId="1" priority="7" operator="greaterThan">
      <formula>0</formula>
    </cfRule>
    <cfRule type="cellIs" dxfId="0" priority="8" operator="greaterThan">
      <formula>28228130932</formula>
    </cfRule>
  </conditionalFormatting>
  <dataValidations count="1">
    <dataValidation type="custom" allowBlank="1" showInputMessage="1" showErrorMessage="1" sqref="I1 J1" xr:uid="{2682067F-B4D8-4E2C-8135-88A5EF68A7E6}">
      <formula1>AND(LEN(I1)&gt;2,LEN(I1)&lt;11,ISERROR(SUMPRODUCT(--MID(I1,ROW(INDIRECT("1:"&amp;LEN(I1))),1))))</formula1>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B40F4-2F90-422B-97A5-20A3CE2ACA98}">
  <dimension ref="A1:H201"/>
  <sheetViews>
    <sheetView topLeftCell="C1" workbookViewId="0">
      <selection activeCell="H15" sqref="H15:I15"/>
    </sheetView>
  </sheetViews>
  <sheetFormatPr defaultRowHeight="14.5" x14ac:dyDescent="0.35"/>
  <cols>
    <col min="1" max="1" width="14.7265625" style="27" customWidth="1"/>
    <col min="2" max="2" width="20.36328125" style="27" customWidth="1"/>
    <col min="3" max="3" width="12" style="27" customWidth="1"/>
    <col min="4" max="4" width="15.36328125" style="27" customWidth="1"/>
    <col min="5" max="5" width="17" style="27" customWidth="1"/>
    <col min="7" max="7" width="10.54296875" customWidth="1"/>
    <col min="8" max="8" width="15.453125" customWidth="1"/>
  </cols>
  <sheetData>
    <row r="1" spans="1:8" x14ac:dyDescent="0.35">
      <c r="A1" s="23" t="s">
        <v>0</v>
      </c>
      <c r="B1" s="24" t="s">
        <v>527</v>
      </c>
      <c r="C1" s="23" t="s">
        <v>2</v>
      </c>
      <c r="D1" s="23" t="s">
        <v>1281</v>
      </c>
      <c r="E1" s="23" t="s">
        <v>923</v>
      </c>
      <c r="G1" s="21" t="s">
        <v>0</v>
      </c>
      <c r="H1" s="21" t="s">
        <v>923</v>
      </c>
    </row>
    <row r="2" spans="1:8" x14ac:dyDescent="0.35">
      <c r="A2" s="25" t="s">
        <v>12</v>
      </c>
      <c r="B2" s="25" t="s">
        <v>533</v>
      </c>
      <c r="C2" s="25">
        <v>0.99990000000000001</v>
      </c>
      <c r="D2" s="25" t="str">
        <f t="shared" ref="D2:D33" si="0">IF(C2&lt;=50,"0-50","&gt;50")</f>
        <v>0-50</v>
      </c>
      <c r="E2" s="25">
        <f t="shared" ref="E2:E33" si="1">IFERROR(VALUE(SUBSTITUTE(SUBSTITUTE(B2,"$",""),",","")),0)</f>
        <v>60772601456</v>
      </c>
      <c r="G2" s="22" t="s">
        <v>12</v>
      </c>
      <c r="H2" s="22">
        <v>60772601456</v>
      </c>
    </row>
    <row r="3" spans="1:8" x14ac:dyDescent="0.35">
      <c r="A3" s="25" t="s">
        <v>6</v>
      </c>
      <c r="B3" s="25" t="s">
        <v>529</v>
      </c>
      <c r="C3" s="26">
        <v>104058.04</v>
      </c>
      <c r="D3" s="25" t="str">
        <f t="shared" si="0"/>
        <v>&gt;50</v>
      </c>
      <c r="E3" s="25">
        <f t="shared" si="1"/>
        <v>43170391288</v>
      </c>
      <c r="G3" s="22" t="s">
        <v>6</v>
      </c>
      <c r="H3" s="22">
        <v>43170391288</v>
      </c>
    </row>
    <row r="4" spans="1:8" x14ac:dyDescent="0.35">
      <c r="A4" s="25" t="s">
        <v>9</v>
      </c>
      <c r="B4" s="25" t="s">
        <v>531</v>
      </c>
      <c r="C4" s="26">
        <v>2483.59</v>
      </c>
      <c r="D4" s="25" t="str">
        <f t="shared" si="0"/>
        <v>&gt;50</v>
      </c>
      <c r="E4" s="25">
        <f t="shared" si="1"/>
        <v>14942260356</v>
      </c>
      <c r="G4" s="22" t="s">
        <v>9</v>
      </c>
      <c r="H4" s="22">
        <v>14942260356</v>
      </c>
    </row>
    <row r="5" spans="1:8" x14ac:dyDescent="0.35">
      <c r="A5" s="25" t="s">
        <v>22</v>
      </c>
      <c r="B5" s="25" t="s">
        <v>541</v>
      </c>
      <c r="C5" s="25">
        <v>0.99980000000000002</v>
      </c>
      <c r="D5" s="25" t="str">
        <f t="shared" si="0"/>
        <v>0-50</v>
      </c>
      <c r="E5" s="25">
        <f t="shared" si="1"/>
        <v>8208315257</v>
      </c>
      <c r="G5" s="22" t="s">
        <v>15</v>
      </c>
      <c r="H5" s="22">
        <v>2046333328</v>
      </c>
    </row>
    <row r="6" spans="1:8" x14ac:dyDescent="0.35">
      <c r="A6" s="25" t="s">
        <v>19</v>
      </c>
      <c r="B6" s="25" t="s">
        <v>539</v>
      </c>
      <c r="C6" s="25">
        <v>142.66999999999999</v>
      </c>
      <c r="D6" s="25" t="str">
        <f t="shared" si="0"/>
        <v>&gt;50</v>
      </c>
      <c r="E6" s="25">
        <f t="shared" si="1"/>
        <v>2904341748</v>
      </c>
      <c r="G6" s="22" t="s">
        <v>19</v>
      </c>
      <c r="H6" s="22">
        <v>2904341748</v>
      </c>
    </row>
    <row r="7" spans="1:8" x14ac:dyDescent="0.35">
      <c r="A7" s="25" t="s">
        <v>15</v>
      </c>
      <c r="B7" s="25" t="s">
        <v>535</v>
      </c>
      <c r="C7" s="25">
        <v>2.12</v>
      </c>
      <c r="D7" s="25" t="str">
        <f t="shared" si="0"/>
        <v>0-50</v>
      </c>
      <c r="E7" s="25">
        <f t="shared" si="1"/>
        <v>2046333328</v>
      </c>
      <c r="G7" s="22" t="s">
        <v>1282</v>
      </c>
      <c r="H7" s="22">
        <f>SUM(E2:E200)-SUM(I2:I6)</f>
        <v>136428428057</v>
      </c>
    </row>
    <row r="8" spans="1:8" x14ac:dyDescent="0.35">
      <c r="A8" s="25" t="s">
        <v>17</v>
      </c>
      <c r="B8" s="25" t="s">
        <v>537</v>
      </c>
      <c r="C8" s="25">
        <v>644.79</v>
      </c>
      <c r="D8" s="25" t="str">
        <f t="shared" si="0"/>
        <v>&gt;50</v>
      </c>
      <c r="E8" s="25">
        <f t="shared" si="1"/>
        <v>1497928447</v>
      </c>
    </row>
    <row r="9" spans="1:8" x14ac:dyDescent="0.35">
      <c r="A9" s="25" t="s">
        <v>27</v>
      </c>
      <c r="B9" s="25" t="s">
        <v>545</v>
      </c>
      <c r="C9" s="25">
        <v>0.16539999999999999</v>
      </c>
      <c r="D9" s="25" t="str">
        <f t="shared" si="0"/>
        <v>0-50</v>
      </c>
      <c r="E9" s="25">
        <f t="shared" si="1"/>
        <v>781433558</v>
      </c>
    </row>
    <row r="10" spans="1:8" x14ac:dyDescent="0.35">
      <c r="A10" s="25" t="s">
        <v>30</v>
      </c>
      <c r="B10" s="25" t="s">
        <v>547</v>
      </c>
      <c r="C10" s="25">
        <v>0.58079999999999998</v>
      </c>
      <c r="D10" s="25" t="str">
        <f t="shared" si="0"/>
        <v>0-50</v>
      </c>
      <c r="E10" s="25">
        <f t="shared" si="1"/>
        <v>539447597</v>
      </c>
    </row>
    <row r="11" spans="1:8" x14ac:dyDescent="0.35">
      <c r="A11" s="25" t="s">
        <v>24</v>
      </c>
      <c r="B11" s="25" t="s">
        <v>543</v>
      </c>
      <c r="C11" s="25">
        <v>0.27339999999999998</v>
      </c>
      <c r="D11" s="25" t="str">
        <f t="shared" si="0"/>
        <v>0-50</v>
      </c>
      <c r="E11" s="25">
        <f t="shared" si="1"/>
        <v>445406337</v>
      </c>
    </row>
    <row r="12" spans="1:8" x14ac:dyDescent="0.35">
      <c r="A12" s="25" t="s">
        <v>140</v>
      </c>
      <c r="B12" s="25" t="s">
        <v>625</v>
      </c>
      <c r="C12" s="25">
        <v>4.2049999999999997E-2</v>
      </c>
      <c r="D12" s="25" t="str">
        <f t="shared" si="0"/>
        <v>0-50</v>
      </c>
      <c r="E12" s="25">
        <f t="shared" si="1"/>
        <v>135025163</v>
      </c>
    </row>
    <row r="13" spans="1:8" x14ac:dyDescent="0.35">
      <c r="A13" s="25" t="s">
        <v>39</v>
      </c>
      <c r="B13" s="25" t="s">
        <v>553</v>
      </c>
      <c r="C13" s="25">
        <v>2.06</v>
      </c>
      <c r="D13" s="25" t="str">
        <f t="shared" si="0"/>
        <v>0-50</v>
      </c>
      <c r="E13" s="25">
        <f t="shared" si="1"/>
        <v>110228545</v>
      </c>
    </row>
    <row r="14" spans="1:8" x14ac:dyDescent="0.35">
      <c r="A14" s="25" t="s">
        <v>54</v>
      </c>
      <c r="B14" s="25" t="s">
        <v>563</v>
      </c>
      <c r="C14" s="25">
        <v>0.46260000000000001</v>
      </c>
      <c r="D14" s="25" t="str">
        <f t="shared" si="0"/>
        <v>0-50</v>
      </c>
      <c r="E14" s="25">
        <f t="shared" si="1"/>
        <v>70946476</v>
      </c>
    </row>
    <row r="15" spans="1:8" x14ac:dyDescent="0.35">
      <c r="A15" s="25" t="s">
        <v>33</v>
      </c>
      <c r="B15" s="25" t="s">
        <v>549</v>
      </c>
      <c r="C15" s="25">
        <v>9.0959999999999999E-3</v>
      </c>
      <c r="D15" s="25" t="str">
        <f t="shared" si="0"/>
        <v>0-50</v>
      </c>
      <c r="E15" s="25">
        <f t="shared" si="1"/>
        <v>60468868</v>
      </c>
    </row>
    <row r="16" spans="1:8" x14ac:dyDescent="0.35">
      <c r="A16" s="25" t="s">
        <v>60</v>
      </c>
      <c r="B16" s="25" t="s">
        <v>567</v>
      </c>
      <c r="C16" s="25">
        <v>0.99760000000000004</v>
      </c>
      <c r="D16" s="25" t="str">
        <f t="shared" si="0"/>
        <v>0-50</v>
      </c>
      <c r="E16" s="25">
        <f t="shared" si="1"/>
        <v>60347807</v>
      </c>
    </row>
    <row r="17" spans="1:5" x14ac:dyDescent="0.35">
      <c r="A17" s="25" t="s">
        <v>63</v>
      </c>
      <c r="B17" s="25" t="s">
        <v>569</v>
      </c>
      <c r="C17" s="25">
        <v>4.45</v>
      </c>
      <c r="D17" s="25" t="str">
        <f t="shared" si="0"/>
        <v>0-50</v>
      </c>
      <c r="E17" s="25">
        <f t="shared" si="1"/>
        <v>58305626</v>
      </c>
    </row>
    <row r="18" spans="1:5" x14ac:dyDescent="0.35">
      <c r="A18" s="25" t="s">
        <v>105</v>
      </c>
      <c r="B18" s="25" t="s">
        <v>601</v>
      </c>
      <c r="C18" s="25">
        <v>0.16800000000000001</v>
      </c>
      <c r="D18" s="25" t="str">
        <f t="shared" si="0"/>
        <v>0-50</v>
      </c>
      <c r="E18" s="25">
        <f t="shared" si="1"/>
        <v>44129611</v>
      </c>
    </row>
    <row r="19" spans="1:5" x14ac:dyDescent="0.35">
      <c r="A19" s="25" t="s">
        <v>217</v>
      </c>
      <c r="B19" s="25" t="s">
        <v>681</v>
      </c>
      <c r="C19" s="25">
        <v>8.3759999999999998E-3</v>
      </c>
      <c r="D19" s="25" t="str">
        <f t="shared" si="0"/>
        <v>0-50</v>
      </c>
      <c r="E19" s="25">
        <f t="shared" si="1"/>
        <v>40860347</v>
      </c>
    </row>
    <row r="20" spans="1:5" x14ac:dyDescent="0.35">
      <c r="A20" s="25" t="s">
        <v>207</v>
      </c>
      <c r="B20" s="25" t="s">
        <v>673</v>
      </c>
      <c r="C20" s="25">
        <v>0.12790000000000001</v>
      </c>
      <c r="D20" s="25" t="str">
        <f t="shared" si="0"/>
        <v>0-50</v>
      </c>
      <c r="E20" s="25">
        <f t="shared" si="1"/>
        <v>33236555</v>
      </c>
    </row>
    <row r="21" spans="1:5" x14ac:dyDescent="0.35">
      <c r="A21" s="25" t="s">
        <v>48</v>
      </c>
      <c r="B21" s="25" t="s">
        <v>559</v>
      </c>
      <c r="C21" s="25">
        <v>9.4530000000000003E-2</v>
      </c>
      <c r="D21" s="25" t="str">
        <f t="shared" si="0"/>
        <v>0-50</v>
      </c>
      <c r="E21" s="25">
        <f t="shared" si="1"/>
        <v>27917564</v>
      </c>
    </row>
    <row r="22" spans="1:5" x14ac:dyDescent="0.35">
      <c r="A22" s="25" t="s">
        <v>117</v>
      </c>
      <c r="B22" s="25" t="s">
        <v>609</v>
      </c>
      <c r="C22" s="25">
        <v>7.1980000000000002E-2</v>
      </c>
      <c r="D22" s="25" t="str">
        <f t="shared" si="0"/>
        <v>0-50</v>
      </c>
      <c r="E22" s="25">
        <f t="shared" si="1"/>
        <v>25758134</v>
      </c>
    </row>
    <row r="23" spans="1:5" x14ac:dyDescent="0.35">
      <c r="A23" s="25" t="s">
        <v>57</v>
      </c>
      <c r="B23" s="25" t="s">
        <v>565</v>
      </c>
      <c r="C23" s="25">
        <v>0.2505</v>
      </c>
      <c r="D23" s="25" t="str">
        <f t="shared" si="0"/>
        <v>0-50</v>
      </c>
      <c r="E23" s="25">
        <f t="shared" si="1"/>
        <v>25685731</v>
      </c>
    </row>
    <row r="24" spans="1:5" x14ac:dyDescent="0.35">
      <c r="A24" s="25" t="s">
        <v>36</v>
      </c>
      <c r="B24" s="25" t="s">
        <v>551</v>
      </c>
      <c r="C24" s="25">
        <v>0.42049999999999998</v>
      </c>
      <c r="D24" s="25" t="str">
        <f t="shared" si="0"/>
        <v>0-50</v>
      </c>
      <c r="E24" s="25">
        <f t="shared" si="1"/>
        <v>22854744</v>
      </c>
    </row>
    <row r="25" spans="1:5" x14ac:dyDescent="0.35">
      <c r="A25" s="25" t="s">
        <v>161</v>
      </c>
      <c r="B25" s="25" t="s">
        <v>639</v>
      </c>
      <c r="C25" s="25">
        <v>1.1499999999999999</v>
      </c>
      <c r="D25" s="25" t="str">
        <f t="shared" si="0"/>
        <v>0-50</v>
      </c>
      <c r="E25" s="25">
        <f t="shared" si="1"/>
        <v>22680605</v>
      </c>
    </row>
    <row r="26" spans="1:5" x14ac:dyDescent="0.35">
      <c r="A26" s="25" t="s">
        <v>51</v>
      </c>
      <c r="B26" s="25" t="s">
        <v>561</v>
      </c>
      <c r="C26" s="25">
        <v>0.33939999999999998</v>
      </c>
      <c r="D26" s="25" t="str">
        <f t="shared" si="0"/>
        <v>0-50</v>
      </c>
      <c r="E26" s="25">
        <f t="shared" si="1"/>
        <v>21157648</v>
      </c>
    </row>
    <row r="27" spans="1:5" x14ac:dyDescent="0.35">
      <c r="A27" s="25" t="s">
        <v>65</v>
      </c>
      <c r="B27" s="25" t="s">
        <v>571</v>
      </c>
      <c r="C27" s="25">
        <v>4.32</v>
      </c>
      <c r="D27" s="25" t="str">
        <f t="shared" si="0"/>
        <v>0-50</v>
      </c>
      <c r="E27" s="25">
        <f t="shared" si="1"/>
        <v>17245756</v>
      </c>
    </row>
    <row r="28" spans="1:5" x14ac:dyDescent="0.35">
      <c r="A28" s="25" t="s">
        <v>146</v>
      </c>
      <c r="B28" s="25" t="s">
        <v>629</v>
      </c>
      <c r="C28" s="25">
        <v>6.2719999999999998E-3</v>
      </c>
      <c r="D28" s="25" t="str">
        <f t="shared" si="0"/>
        <v>0-50</v>
      </c>
      <c r="E28" s="25">
        <f t="shared" si="1"/>
        <v>16850030</v>
      </c>
    </row>
    <row r="29" spans="1:5" x14ac:dyDescent="0.35">
      <c r="A29" s="25" t="s">
        <v>122</v>
      </c>
      <c r="B29" s="25" t="s">
        <v>613</v>
      </c>
      <c r="C29" s="25">
        <v>1.5169999999999999E-3</v>
      </c>
      <c r="D29" s="25" t="str">
        <f t="shared" si="0"/>
        <v>0-50</v>
      </c>
      <c r="E29" s="25">
        <f t="shared" si="1"/>
        <v>15717380</v>
      </c>
    </row>
    <row r="30" spans="1:5" x14ac:dyDescent="0.35">
      <c r="A30" s="25" t="s">
        <v>42</v>
      </c>
      <c r="B30" s="25" t="s">
        <v>555</v>
      </c>
      <c r="C30" s="25">
        <v>0.54430000000000001</v>
      </c>
      <c r="D30" s="25" t="str">
        <f t="shared" si="0"/>
        <v>0-50</v>
      </c>
      <c r="E30" s="25">
        <f t="shared" si="1"/>
        <v>14386742</v>
      </c>
    </row>
    <row r="31" spans="1:5" x14ac:dyDescent="0.35">
      <c r="A31" s="25" t="s">
        <v>45</v>
      </c>
      <c r="B31" s="25" t="s">
        <v>557</v>
      </c>
      <c r="C31" s="25">
        <v>0.52070000000000005</v>
      </c>
      <c r="D31" s="25" t="str">
        <f t="shared" si="0"/>
        <v>0-50</v>
      </c>
      <c r="E31" s="25">
        <f t="shared" si="1"/>
        <v>14355952</v>
      </c>
    </row>
    <row r="32" spans="1:5" x14ac:dyDescent="0.35">
      <c r="A32" s="25" t="s">
        <v>137</v>
      </c>
      <c r="B32" s="25" t="s">
        <v>623</v>
      </c>
      <c r="C32" s="25">
        <v>7.8759999999999997E-2</v>
      </c>
      <c r="D32" s="25" t="str">
        <f t="shared" si="0"/>
        <v>0-50</v>
      </c>
      <c r="E32" s="25">
        <f t="shared" si="1"/>
        <v>12716009</v>
      </c>
    </row>
    <row r="33" spans="1:5" x14ac:dyDescent="0.35">
      <c r="A33" s="25" t="s">
        <v>102</v>
      </c>
      <c r="B33" s="25" t="s">
        <v>599</v>
      </c>
      <c r="C33" s="25">
        <v>0.15359999999999999</v>
      </c>
      <c r="D33" s="25" t="str">
        <f t="shared" si="0"/>
        <v>0-50</v>
      </c>
      <c r="E33" s="25">
        <f t="shared" si="1"/>
        <v>11365168</v>
      </c>
    </row>
    <row r="34" spans="1:5" x14ac:dyDescent="0.35">
      <c r="A34" s="25" t="s">
        <v>131</v>
      </c>
      <c r="B34" s="25" t="s">
        <v>619</v>
      </c>
      <c r="C34" s="25">
        <v>9.5740000000000006E-2</v>
      </c>
      <c r="D34" s="25" t="str">
        <f t="shared" ref="D34:D65" si="2">IF(C34&lt;=50,"0-50","&gt;50")</f>
        <v>0-50</v>
      </c>
      <c r="E34" s="25">
        <f t="shared" ref="E34:E65" si="3">IFERROR(VALUE(SUBSTITUTE(SUBSTITUTE(B34,"$",""),",","")),0)</f>
        <v>9190572</v>
      </c>
    </row>
    <row r="35" spans="1:5" ht="29" x14ac:dyDescent="0.35">
      <c r="A35" s="25" t="s">
        <v>199</v>
      </c>
      <c r="B35" s="25" t="s">
        <v>667</v>
      </c>
      <c r="C35" s="25">
        <v>0.33879999999999999</v>
      </c>
      <c r="D35" s="25" t="str">
        <f t="shared" si="2"/>
        <v>0-50</v>
      </c>
      <c r="E35" s="25">
        <f t="shared" si="3"/>
        <v>8693511</v>
      </c>
    </row>
    <row r="36" spans="1:5" x14ac:dyDescent="0.35">
      <c r="A36" s="25" t="s">
        <v>314</v>
      </c>
      <c r="B36" s="25" t="s">
        <v>759</v>
      </c>
      <c r="C36" s="25">
        <v>9.0810000000000005E-3</v>
      </c>
      <c r="D36" s="25" t="str">
        <f t="shared" si="2"/>
        <v>0-50</v>
      </c>
      <c r="E36" s="25">
        <f t="shared" si="3"/>
        <v>8504736</v>
      </c>
    </row>
    <row r="37" spans="1:5" x14ac:dyDescent="0.35">
      <c r="A37" s="25" t="s">
        <v>114</v>
      </c>
      <c r="B37" s="25" t="s">
        <v>607</v>
      </c>
      <c r="C37" s="25">
        <v>1.813E-2</v>
      </c>
      <c r="D37" s="25" t="str">
        <f t="shared" si="2"/>
        <v>0-50</v>
      </c>
      <c r="E37" s="25">
        <f t="shared" si="3"/>
        <v>8143928</v>
      </c>
    </row>
    <row r="38" spans="1:5" x14ac:dyDescent="0.35">
      <c r="A38" s="25" t="s">
        <v>306</v>
      </c>
      <c r="B38" s="25" t="s">
        <v>753</v>
      </c>
      <c r="C38" s="25">
        <v>1.8810000000000001E-3</v>
      </c>
      <c r="D38" s="25" t="str">
        <f t="shared" si="2"/>
        <v>0-50</v>
      </c>
      <c r="E38" s="25">
        <f t="shared" si="3"/>
        <v>7687892</v>
      </c>
    </row>
    <row r="39" spans="1:5" ht="43.5" x14ac:dyDescent="0.35">
      <c r="A39" s="25" t="s">
        <v>251</v>
      </c>
      <c r="B39" s="25" t="s">
        <v>707</v>
      </c>
      <c r="C39" s="25">
        <v>1.3899999999999999E-2</v>
      </c>
      <c r="D39" s="25" t="str">
        <f t="shared" si="2"/>
        <v>0-50</v>
      </c>
      <c r="E39" s="25">
        <f t="shared" si="3"/>
        <v>7675089</v>
      </c>
    </row>
    <row r="40" spans="1:5" x14ac:dyDescent="0.35">
      <c r="A40" s="25" t="s">
        <v>134</v>
      </c>
      <c r="B40" s="25" t="s">
        <v>621</v>
      </c>
      <c r="C40" s="25">
        <v>3.2290000000000001E-3</v>
      </c>
      <c r="D40" s="25" t="str">
        <f t="shared" si="2"/>
        <v>0-50</v>
      </c>
      <c r="E40" s="25">
        <f t="shared" si="3"/>
        <v>7399528</v>
      </c>
    </row>
    <row r="41" spans="1:5" ht="29" x14ac:dyDescent="0.35">
      <c r="A41" s="25" t="s">
        <v>111</v>
      </c>
      <c r="B41" s="25" t="s">
        <v>605</v>
      </c>
      <c r="C41" s="25">
        <v>0.1537</v>
      </c>
      <c r="D41" s="25" t="str">
        <f t="shared" si="2"/>
        <v>0-50</v>
      </c>
      <c r="E41" s="25">
        <f t="shared" si="3"/>
        <v>7215924</v>
      </c>
    </row>
    <row r="42" spans="1:5" x14ac:dyDescent="0.35">
      <c r="A42" s="25" t="s">
        <v>74</v>
      </c>
      <c r="B42" s="25" t="s">
        <v>577</v>
      </c>
      <c r="C42" s="25">
        <v>0.99770000000000003</v>
      </c>
      <c r="D42" s="25" t="str">
        <f t="shared" si="2"/>
        <v>0-50</v>
      </c>
      <c r="E42" s="25">
        <f t="shared" si="3"/>
        <v>6754108</v>
      </c>
    </row>
    <row r="43" spans="1:5" ht="29" x14ac:dyDescent="0.35">
      <c r="A43" s="25" t="s">
        <v>99</v>
      </c>
      <c r="B43" s="25" t="s">
        <v>597</v>
      </c>
      <c r="C43" s="25">
        <v>1.1480000000000001E-2</v>
      </c>
      <c r="D43" s="25" t="str">
        <f t="shared" si="2"/>
        <v>0-50</v>
      </c>
      <c r="E43" s="25">
        <f t="shared" si="3"/>
        <v>6571559</v>
      </c>
    </row>
    <row r="44" spans="1:5" ht="29" x14ac:dyDescent="0.35">
      <c r="A44" s="25" t="s">
        <v>155</v>
      </c>
      <c r="B44" s="25" t="s">
        <v>635</v>
      </c>
      <c r="C44" s="25">
        <v>1.253E-3</v>
      </c>
      <c r="D44" s="25" t="str">
        <f t="shared" si="2"/>
        <v>0-50</v>
      </c>
      <c r="E44" s="25">
        <f t="shared" si="3"/>
        <v>5590436</v>
      </c>
    </row>
    <row r="45" spans="1:5" x14ac:dyDescent="0.35">
      <c r="A45" s="25" t="s">
        <v>97</v>
      </c>
      <c r="B45" s="25" t="s">
        <v>595</v>
      </c>
      <c r="C45" s="25">
        <v>5.0279999999999998E-2</v>
      </c>
      <c r="D45" s="25" t="str">
        <f t="shared" si="2"/>
        <v>0-50</v>
      </c>
      <c r="E45" s="25">
        <f t="shared" si="3"/>
        <v>5574946</v>
      </c>
    </row>
    <row r="46" spans="1:5" x14ac:dyDescent="0.35">
      <c r="A46" s="25" t="s">
        <v>209</v>
      </c>
      <c r="B46" s="25" t="s">
        <v>675</v>
      </c>
      <c r="C46" s="25">
        <v>0.5232</v>
      </c>
      <c r="D46" s="25" t="str">
        <f t="shared" si="2"/>
        <v>0-50</v>
      </c>
      <c r="E46" s="25">
        <f t="shared" si="3"/>
        <v>5485485</v>
      </c>
    </row>
    <row r="47" spans="1:5" x14ac:dyDescent="0.35">
      <c r="A47" s="25" t="s">
        <v>225</v>
      </c>
      <c r="B47" s="25" t="s">
        <v>687</v>
      </c>
      <c r="C47" s="25">
        <v>2.085E-2</v>
      </c>
      <c r="D47" s="25" t="str">
        <f t="shared" si="2"/>
        <v>0-50</v>
      </c>
      <c r="E47" s="25">
        <f t="shared" si="3"/>
        <v>5290020</v>
      </c>
    </row>
    <row r="48" spans="1:5" x14ac:dyDescent="0.35">
      <c r="A48" s="25" t="s">
        <v>180</v>
      </c>
      <c r="B48" s="25" t="s">
        <v>653</v>
      </c>
      <c r="C48" s="25">
        <v>0.53610000000000002</v>
      </c>
      <c r="D48" s="25" t="str">
        <f t="shared" si="2"/>
        <v>0-50</v>
      </c>
      <c r="E48" s="25">
        <f t="shared" si="3"/>
        <v>5008504</v>
      </c>
    </row>
    <row r="49" spans="1:5" x14ac:dyDescent="0.35">
      <c r="A49" s="25" t="s">
        <v>379</v>
      </c>
      <c r="B49" s="25" t="s">
        <v>813</v>
      </c>
      <c r="C49" s="25">
        <v>1.9529999999999999E-2</v>
      </c>
      <c r="D49" s="25" t="str">
        <f t="shared" si="2"/>
        <v>0-50</v>
      </c>
      <c r="E49" s="25">
        <f t="shared" si="3"/>
        <v>4951893</v>
      </c>
    </row>
    <row r="50" spans="1:5" x14ac:dyDescent="0.35">
      <c r="A50" s="25" t="s">
        <v>88</v>
      </c>
      <c r="B50" s="25" t="s">
        <v>589</v>
      </c>
      <c r="C50" s="25">
        <v>0.1205</v>
      </c>
      <c r="D50" s="25" t="str">
        <f t="shared" si="2"/>
        <v>0-50</v>
      </c>
      <c r="E50" s="25">
        <f t="shared" si="3"/>
        <v>4884866</v>
      </c>
    </row>
    <row r="51" spans="1:5" x14ac:dyDescent="0.35">
      <c r="A51" s="25" t="s">
        <v>125</v>
      </c>
      <c r="B51" s="25" t="s">
        <v>615</v>
      </c>
      <c r="C51" s="25">
        <v>0.15379999999999999</v>
      </c>
      <c r="D51" s="25" t="str">
        <f t="shared" si="2"/>
        <v>0-50</v>
      </c>
      <c r="E51" s="25">
        <f t="shared" si="3"/>
        <v>4873644</v>
      </c>
    </row>
    <row r="52" spans="1:5" x14ac:dyDescent="0.35">
      <c r="A52" s="25" t="s">
        <v>253</v>
      </c>
      <c r="B52" s="25" t="s">
        <v>709</v>
      </c>
      <c r="C52" s="25">
        <v>4.41E-2</v>
      </c>
      <c r="D52" s="25" t="str">
        <f t="shared" si="2"/>
        <v>0-50</v>
      </c>
      <c r="E52" s="25">
        <f t="shared" si="3"/>
        <v>4797522</v>
      </c>
    </row>
    <row r="53" spans="1:5" x14ac:dyDescent="0.35">
      <c r="A53" s="25" t="s">
        <v>377</v>
      </c>
      <c r="B53" s="25" t="s">
        <v>811</v>
      </c>
      <c r="C53" s="25">
        <v>1.908E-2</v>
      </c>
      <c r="D53" s="25" t="str">
        <f t="shared" si="2"/>
        <v>0-50</v>
      </c>
      <c r="E53" s="25">
        <f t="shared" si="3"/>
        <v>4760489</v>
      </c>
    </row>
    <row r="54" spans="1:5" x14ac:dyDescent="0.35">
      <c r="A54" s="25" t="s">
        <v>212</v>
      </c>
      <c r="B54" s="25" t="s">
        <v>677</v>
      </c>
      <c r="C54" s="25">
        <v>3.9259999999999998E-3</v>
      </c>
      <c r="D54" s="25" t="str">
        <f t="shared" si="2"/>
        <v>0-50</v>
      </c>
      <c r="E54" s="25">
        <f t="shared" si="3"/>
        <v>4157460</v>
      </c>
    </row>
    <row r="55" spans="1:5" x14ac:dyDescent="0.35">
      <c r="A55" s="25" t="s">
        <v>94</v>
      </c>
      <c r="B55" s="25" t="s">
        <v>593</v>
      </c>
      <c r="C55" s="25">
        <v>0.1043</v>
      </c>
      <c r="D55" s="25" t="str">
        <f t="shared" si="2"/>
        <v>0-50</v>
      </c>
      <c r="E55" s="25">
        <f t="shared" si="3"/>
        <v>4086544</v>
      </c>
    </row>
    <row r="56" spans="1:5" x14ac:dyDescent="0.35">
      <c r="A56" s="25" t="s">
        <v>223</v>
      </c>
      <c r="B56" s="25" t="s">
        <v>685</v>
      </c>
      <c r="C56" s="25">
        <v>0.18410000000000001</v>
      </c>
      <c r="D56" s="25" t="str">
        <f t="shared" si="2"/>
        <v>0-50</v>
      </c>
      <c r="E56" s="25">
        <f t="shared" si="3"/>
        <v>3675488</v>
      </c>
    </row>
    <row r="57" spans="1:5" x14ac:dyDescent="0.35">
      <c r="A57" s="25" t="s">
        <v>262</v>
      </c>
      <c r="B57" s="25" t="s">
        <v>717</v>
      </c>
      <c r="C57" s="25">
        <v>6.6669999999999993E-2</v>
      </c>
      <c r="D57" s="25" t="str">
        <f t="shared" si="2"/>
        <v>0-50</v>
      </c>
      <c r="E57" s="25">
        <f t="shared" si="3"/>
        <v>3645223</v>
      </c>
    </row>
    <row r="58" spans="1:5" x14ac:dyDescent="0.35">
      <c r="A58" s="25" t="s">
        <v>197</v>
      </c>
      <c r="B58" s="25" t="s">
        <v>665</v>
      </c>
      <c r="C58" s="25">
        <v>0.2442</v>
      </c>
      <c r="D58" s="25" t="str">
        <f t="shared" si="2"/>
        <v>0-50</v>
      </c>
      <c r="E58" s="25">
        <f t="shared" si="3"/>
        <v>3564164</v>
      </c>
    </row>
    <row r="59" spans="1:5" x14ac:dyDescent="0.35">
      <c r="A59" s="25" t="s">
        <v>329</v>
      </c>
      <c r="B59" s="25" t="s">
        <v>770</v>
      </c>
      <c r="C59" s="25">
        <v>3.4939999999999999E-2</v>
      </c>
      <c r="D59" s="25" t="str">
        <f t="shared" si="2"/>
        <v>0-50</v>
      </c>
      <c r="E59" s="25">
        <f t="shared" si="3"/>
        <v>3410421</v>
      </c>
    </row>
    <row r="60" spans="1:5" x14ac:dyDescent="0.35">
      <c r="A60" s="25" t="s">
        <v>167</v>
      </c>
      <c r="B60" s="25" t="s">
        <v>643</v>
      </c>
      <c r="C60" s="25">
        <v>2.875E-3</v>
      </c>
      <c r="D60" s="25" t="str">
        <f t="shared" si="2"/>
        <v>0-50</v>
      </c>
      <c r="E60" s="25">
        <f t="shared" si="3"/>
        <v>3358220</v>
      </c>
    </row>
    <row r="61" spans="1:5" x14ac:dyDescent="0.35">
      <c r="A61" s="25" t="s">
        <v>91</v>
      </c>
      <c r="B61" s="25" t="s">
        <v>591</v>
      </c>
      <c r="C61" s="25">
        <v>0.1336</v>
      </c>
      <c r="D61" s="25" t="str">
        <f t="shared" si="2"/>
        <v>0-50</v>
      </c>
      <c r="E61" s="25">
        <f t="shared" si="3"/>
        <v>3268919</v>
      </c>
    </row>
    <row r="62" spans="1:5" x14ac:dyDescent="0.35">
      <c r="A62" s="25" t="s">
        <v>78</v>
      </c>
      <c r="B62" s="25" t="s">
        <v>581</v>
      </c>
      <c r="C62" s="25">
        <v>0.99970000000000003</v>
      </c>
      <c r="D62" s="25" t="str">
        <f t="shared" si="2"/>
        <v>0-50</v>
      </c>
      <c r="E62" s="25">
        <f t="shared" si="3"/>
        <v>3265776</v>
      </c>
    </row>
    <row r="63" spans="1:5" ht="43.5" x14ac:dyDescent="0.35">
      <c r="A63" s="25" t="s">
        <v>265</v>
      </c>
      <c r="B63" s="25" t="s">
        <v>719</v>
      </c>
      <c r="C63" s="25">
        <v>1.6</v>
      </c>
      <c r="D63" s="25" t="str">
        <f t="shared" si="2"/>
        <v>0-50</v>
      </c>
      <c r="E63" s="25">
        <f t="shared" si="3"/>
        <v>3216530</v>
      </c>
    </row>
    <row r="64" spans="1:5" x14ac:dyDescent="0.35">
      <c r="A64" s="25" t="s">
        <v>214</v>
      </c>
      <c r="B64" s="25" t="s">
        <v>679</v>
      </c>
      <c r="C64" s="25">
        <v>5.6509999999999998E-2</v>
      </c>
      <c r="D64" s="25" t="str">
        <f t="shared" si="2"/>
        <v>0-50</v>
      </c>
      <c r="E64" s="25">
        <f t="shared" si="3"/>
        <v>3148017</v>
      </c>
    </row>
    <row r="65" spans="1:5" ht="43.5" x14ac:dyDescent="0.35">
      <c r="A65" s="25" t="s">
        <v>191</v>
      </c>
      <c r="B65" s="25" t="s">
        <v>661</v>
      </c>
      <c r="C65" s="25">
        <v>2.5299999999999998</v>
      </c>
      <c r="D65" s="25" t="str">
        <f t="shared" si="2"/>
        <v>0-50</v>
      </c>
      <c r="E65" s="25">
        <f t="shared" si="3"/>
        <v>2914375</v>
      </c>
    </row>
    <row r="66" spans="1:5" x14ac:dyDescent="0.35">
      <c r="A66" s="25" t="s">
        <v>271</v>
      </c>
      <c r="B66" s="25" t="s">
        <v>725</v>
      </c>
      <c r="C66" s="25">
        <v>2.934E-3</v>
      </c>
      <c r="D66" s="25" t="str">
        <f t="shared" ref="D66:D97" si="4">IF(C66&lt;=50,"0-50","&gt;50")</f>
        <v>0-50</v>
      </c>
      <c r="E66" s="25">
        <f t="shared" ref="E66:E97" si="5">IFERROR(VALUE(SUBSTITUTE(SUBSTITUTE(B66,"$",""),",","")),0)</f>
        <v>2771456</v>
      </c>
    </row>
    <row r="67" spans="1:5" ht="29" x14ac:dyDescent="0.35">
      <c r="A67" s="25" t="s">
        <v>248</v>
      </c>
      <c r="B67" s="25" t="s">
        <v>705</v>
      </c>
      <c r="C67" s="25">
        <v>3.0099999999999998E-2</v>
      </c>
      <c r="D67" s="25" t="str">
        <f t="shared" si="4"/>
        <v>0-50</v>
      </c>
      <c r="E67" s="25">
        <f t="shared" si="5"/>
        <v>2760725</v>
      </c>
    </row>
    <row r="68" spans="1:5" x14ac:dyDescent="0.35">
      <c r="A68" s="25" t="s">
        <v>289</v>
      </c>
      <c r="B68" s="25" t="s">
        <v>739</v>
      </c>
      <c r="C68" s="25">
        <v>1.193E-2</v>
      </c>
      <c r="D68" s="25" t="str">
        <f t="shared" si="4"/>
        <v>0-50</v>
      </c>
      <c r="E68" s="25">
        <f t="shared" si="5"/>
        <v>2707699</v>
      </c>
    </row>
    <row r="69" spans="1:5" x14ac:dyDescent="0.35">
      <c r="A69" s="25" t="s">
        <v>71</v>
      </c>
      <c r="B69" s="25" t="s">
        <v>575</v>
      </c>
      <c r="C69" s="25">
        <v>1.43</v>
      </c>
      <c r="D69" s="25" t="str">
        <f t="shared" si="4"/>
        <v>0-50</v>
      </c>
      <c r="E69" s="25">
        <f t="shared" si="5"/>
        <v>2595867</v>
      </c>
    </row>
    <row r="70" spans="1:5" x14ac:dyDescent="0.35">
      <c r="A70" s="25" t="s">
        <v>228</v>
      </c>
      <c r="B70" s="25" t="s">
        <v>689</v>
      </c>
      <c r="C70" s="25">
        <v>2.2439999999999999E-3</v>
      </c>
      <c r="D70" s="25" t="str">
        <f t="shared" si="4"/>
        <v>0-50</v>
      </c>
      <c r="E70" s="25">
        <f t="shared" si="5"/>
        <v>2554402</v>
      </c>
    </row>
    <row r="71" spans="1:5" x14ac:dyDescent="0.35">
      <c r="A71" s="25" t="s">
        <v>158</v>
      </c>
      <c r="B71" s="25" t="s">
        <v>637</v>
      </c>
      <c r="C71" s="25">
        <v>8.6260000000000003E-2</v>
      </c>
      <c r="D71" s="25" t="str">
        <f t="shared" si="4"/>
        <v>0-50</v>
      </c>
      <c r="E71" s="25">
        <f t="shared" si="5"/>
        <v>2536218</v>
      </c>
    </row>
    <row r="72" spans="1:5" ht="29" x14ac:dyDescent="0.35">
      <c r="A72" s="25" t="s">
        <v>243</v>
      </c>
      <c r="B72" s="25" t="s">
        <v>701</v>
      </c>
      <c r="C72" s="25">
        <v>5.1970000000000002E-2</v>
      </c>
      <c r="D72" s="25" t="str">
        <f t="shared" si="4"/>
        <v>0-50</v>
      </c>
      <c r="E72" s="25">
        <f t="shared" si="5"/>
        <v>2452497</v>
      </c>
    </row>
    <row r="73" spans="1:5" x14ac:dyDescent="0.35">
      <c r="A73" s="25" t="s">
        <v>345</v>
      </c>
      <c r="B73" s="25" t="s">
        <v>785</v>
      </c>
      <c r="C73" s="25">
        <v>3.9579999999999997E-2</v>
      </c>
      <c r="D73" s="25" t="str">
        <f t="shared" si="4"/>
        <v>0-50</v>
      </c>
      <c r="E73" s="25">
        <f t="shared" si="5"/>
        <v>2431321</v>
      </c>
    </row>
    <row r="74" spans="1:5" x14ac:dyDescent="0.35">
      <c r="A74" s="25" t="s">
        <v>287</v>
      </c>
      <c r="B74" s="25" t="s">
        <v>737</v>
      </c>
      <c r="C74" s="25">
        <v>5.5989999999999998E-2</v>
      </c>
      <c r="D74" s="25" t="str">
        <f t="shared" si="4"/>
        <v>0-50</v>
      </c>
      <c r="E74" s="25">
        <f t="shared" si="5"/>
        <v>2332177</v>
      </c>
    </row>
    <row r="75" spans="1:5" ht="29" x14ac:dyDescent="0.35">
      <c r="A75" s="25" t="s">
        <v>76</v>
      </c>
      <c r="B75" s="25" t="s">
        <v>579</v>
      </c>
      <c r="C75" s="25">
        <v>1.0900000000000001</v>
      </c>
      <c r="D75" s="25" t="str">
        <f t="shared" si="4"/>
        <v>0-50</v>
      </c>
      <c r="E75" s="25">
        <f t="shared" si="5"/>
        <v>2293702</v>
      </c>
    </row>
    <row r="76" spans="1:5" ht="29" x14ac:dyDescent="0.35">
      <c r="A76" s="25" t="s">
        <v>220</v>
      </c>
      <c r="B76" s="25" t="s">
        <v>683</v>
      </c>
      <c r="C76" s="25">
        <v>2.6540000000000001E-2</v>
      </c>
      <c r="D76" s="25" t="str">
        <f t="shared" si="4"/>
        <v>0-50</v>
      </c>
      <c r="E76" s="25">
        <f t="shared" si="5"/>
        <v>2231412</v>
      </c>
    </row>
    <row r="77" spans="1:5" x14ac:dyDescent="0.35">
      <c r="A77" s="25" t="s">
        <v>503</v>
      </c>
      <c r="B77" s="25" t="s">
        <v>919</v>
      </c>
      <c r="C77" s="25">
        <v>1.2199999999999999E-3</v>
      </c>
      <c r="D77" s="25" t="str">
        <f t="shared" si="4"/>
        <v>0-50</v>
      </c>
      <c r="E77" s="25">
        <f t="shared" si="5"/>
        <v>2223596</v>
      </c>
    </row>
    <row r="78" spans="1:5" x14ac:dyDescent="0.35">
      <c r="A78" s="25" t="s">
        <v>336</v>
      </c>
      <c r="B78" s="25" t="s">
        <v>778</v>
      </c>
      <c r="C78" s="25">
        <v>7.7879999999999998E-3</v>
      </c>
      <c r="D78" s="25" t="str">
        <f t="shared" si="4"/>
        <v>0-50</v>
      </c>
      <c r="E78" s="25">
        <f t="shared" si="5"/>
        <v>2191863</v>
      </c>
    </row>
    <row r="79" spans="1:5" ht="29" x14ac:dyDescent="0.35">
      <c r="A79" s="25" t="s">
        <v>204</v>
      </c>
      <c r="B79" s="25" t="s">
        <v>671</v>
      </c>
      <c r="C79" s="25">
        <v>0.1401</v>
      </c>
      <c r="D79" s="25" t="str">
        <f t="shared" si="4"/>
        <v>0-50</v>
      </c>
      <c r="E79" s="25">
        <f t="shared" si="5"/>
        <v>2161326</v>
      </c>
    </row>
    <row r="80" spans="1:5" x14ac:dyDescent="0.35">
      <c r="A80" s="25" t="s">
        <v>440</v>
      </c>
      <c r="B80" s="25" t="s">
        <v>866</v>
      </c>
      <c r="C80" s="25">
        <v>1.772E-2</v>
      </c>
      <c r="D80" s="25" t="str">
        <f t="shared" si="4"/>
        <v>0-50</v>
      </c>
      <c r="E80" s="25">
        <f t="shared" si="5"/>
        <v>1983713</v>
      </c>
    </row>
    <row r="81" spans="1:5" x14ac:dyDescent="0.35">
      <c r="A81" s="25" t="s">
        <v>321</v>
      </c>
      <c r="B81" s="25" t="s">
        <v>765</v>
      </c>
      <c r="C81" s="25">
        <v>1.661E-2</v>
      </c>
      <c r="D81" s="25" t="str">
        <f t="shared" si="4"/>
        <v>0-50</v>
      </c>
      <c r="E81" s="25">
        <f t="shared" si="5"/>
        <v>1959456</v>
      </c>
    </row>
    <row r="82" spans="1:5" x14ac:dyDescent="0.35">
      <c r="A82" s="25" t="s">
        <v>177</v>
      </c>
      <c r="B82" s="25" t="s">
        <v>651</v>
      </c>
      <c r="C82" s="25">
        <v>1.26</v>
      </c>
      <c r="D82" s="25" t="str">
        <f t="shared" si="4"/>
        <v>0-50</v>
      </c>
      <c r="E82" s="25">
        <f t="shared" si="5"/>
        <v>1913531</v>
      </c>
    </row>
    <row r="83" spans="1:5" x14ac:dyDescent="0.35">
      <c r="A83" s="25" t="s">
        <v>269</v>
      </c>
      <c r="B83" s="25" t="s">
        <v>723</v>
      </c>
      <c r="C83" s="25">
        <v>7.5079999999999994E-2</v>
      </c>
      <c r="D83" s="25" t="str">
        <f t="shared" si="4"/>
        <v>0-50</v>
      </c>
      <c r="E83" s="25">
        <f t="shared" si="5"/>
        <v>1739142</v>
      </c>
    </row>
    <row r="84" spans="1:5" x14ac:dyDescent="0.35">
      <c r="A84" s="25" t="s">
        <v>297</v>
      </c>
      <c r="B84" s="25" t="s">
        <v>745</v>
      </c>
      <c r="C84" s="25">
        <v>1.163E-2</v>
      </c>
      <c r="D84" s="25" t="str">
        <f t="shared" si="4"/>
        <v>0-50</v>
      </c>
      <c r="E84" s="25">
        <f t="shared" si="5"/>
        <v>1737116</v>
      </c>
    </row>
    <row r="85" spans="1:5" x14ac:dyDescent="0.35">
      <c r="A85" s="25" t="s">
        <v>183</v>
      </c>
      <c r="B85" s="25" t="s">
        <v>655</v>
      </c>
      <c r="C85" s="25">
        <v>1.245E-3</v>
      </c>
      <c r="D85" s="25" t="str">
        <f t="shared" si="4"/>
        <v>0-50</v>
      </c>
      <c r="E85" s="25">
        <f t="shared" si="5"/>
        <v>1669915</v>
      </c>
    </row>
    <row r="86" spans="1:5" x14ac:dyDescent="0.35">
      <c r="A86" s="25" t="s">
        <v>470</v>
      </c>
      <c r="B86" s="25" t="s">
        <v>891</v>
      </c>
      <c r="C86" s="25">
        <v>5.9199999999999997E-4</v>
      </c>
      <c r="D86" s="25" t="str">
        <f t="shared" si="4"/>
        <v>0-50</v>
      </c>
      <c r="E86" s="25">
        <f t="shared" si="5"/>
        <v>1660204</v>
      </c>
    </row>
    <row r="87" spans="1:5" x14ac:dyDescent="0.35">
      <c r="A87" s="25" t="s">
        <v>267</v>
      </c>
      <c r="B87" s="25" t="s">
        <v>721</v>
      </c>
      <c r="C87" s="25">
        <v>108.17</v>
      </c>
      <c r="D87" s="25" t="str">
        <f t="shared" si="4"/>
        <v>&gt;50</v>
      </c>
      <c r="E87" s="25">
        <f t="shared" si="5"/>
        <v>1639272</v>
      </c>
    </row>
    <row r="88" spans="1:5" x14ac:dyDescent="0.35">
      <c r="A88" s="25" t="s">
        <v>497</v>
      </c>
      <c r="B88" s="25" t="s">
        <v>915</v>
      </c>
      <c r="C88" s="25">
        <v>1.3799999999999999E-4</v>
      </c>
      <c r="D88" s="25" t="str">
        <f t="shared" si="4"/>
        <v>0-50</v>
      </c>
      <c r="E88" s="25">
        <f t="shared" si="5"/>
        <v>1609979</v>
      </c>
    </row>
    <row r="89" spans="1:5" x14ac:dyDescent="0.35">
      <c r="A89" s="25" t="s">
        <v>420</v>
      </c>
      <c r="B89" s="25" t="s">
        <v>849</v>
      </c>
      <c r="C89" s="25">
        <v>4.2319999999999999E-4</v>
      </c>
      <c r="D89" s="25" t="str">
        <f t="shared" si="4"/>
        <v>0-50</v>
      </c>
      <c r="E89" s="25">
        <f t="shared" si="5"/>
        <v>1422530</v>
      </c>
    </row>
    <row r="90" spans="1:5" x14ac:dyDescent="0.35">
      <c r="A90" s="25" t="s">
        <v>164</v>
      </c>
      <c r="B90" s="25" t="s">
        <v>641</v>
      </c>
      <c r="C90" s="25">
        <v>5.1249999999999999E-5</v>
      </c>
      <c r="D90" s="25" t="str">
        <f t="shared" si="4"/>
        <v>0-50</v>
      </c>
      <c r="E90" s="25">
        <f t="shared" si="5"/>
        <v>1414981</v>
      </c>
    </row>
    <row r="91" spans="1:5" x14ac:dyDescent="0.35">
      <c r="A91" s="25" t="s">
        <v>294</v>
      </c>
      <c r="B91" s="25" t="s">
        <v>743</v>
      </c>
      <c r="C91" s="25">
        <v>2.198E-2</v>
      </c>
      <c r="D91" s="25" t="str">
        <f t="shared" si="4"/>
        <v>0-50</v>
      </c>
      <c r="E91" s="25">
        <f t="shared" si="5"/>
        <v>1407422</v>
      </c>
    </row>
    <row r="92" spans="1:5" x14ac:dyDescent="0.35">
      <c r="A92" s="25" t="s">
        <v>128</v>
      </c>
      <c r="B92" s="25" t="s">
        <v>617</v>
      </c>
      <c r="C92" s="25">
        <v>1.5440000000000001E-2</v>
      </c>
      <c r="D92" s="25" t="str">
        <f t="shared" si="4"/>
        <v>0-50</v>
      </c>
      <c r="E92" s="25">
        <f t="shared" si="5"/>
        <v>1356568</v>
      </c>
    </row>
    <row r="93" spans="1:5" x14ac:dyDescent="0.35">
      <c r="A93" s="25" t="s">
        <v>490</v>
      </c>
      <c r="B93" s="25" t="s">
        <v>909</v>
      </c>
      <c r="C93" s="25">
        <v>6.265E-4</v>
      </c>
      <c r="D93" s="25" t="str">
        <f t="shared" si="4"/>
        <v>0-50</v>
      </c>
      <c r="E93" s="25">
        <f t="shared" si="5"/>
        <v>1332029</v>
      </c>
    </row>
    <row r="94" spans="1:5" ht="58" x14ac:dyDescent="0.35">
      <c r="A94" s="25" t="s">
        <v>312</v>
      </c>
      <c r="B94" s="25" t="s">
        <v>757</v>
      </c>
      <c r="C94" s="25">
        <v>9.443E-3</v>
      </c>
      <c r="D94" s="25" t="str">
        <f t="shared" si="4"/>
        <v>0-50</v>
      </c>
      <c r="E94" s="25">
        <f t="shared" si="5"/>
        <v>1315522</v>
      </c>
    </row>
    <row r="95" spans="1:5" x14ac:dyDescent="0.35">
      <c r="A95" s="25" t="s">
        <v>108</v>
      </c>
      <c r="B95" s="25" t="s">
        <v>603</v>
      </c>
      <c r="C95" s="25">
        <v>0.1111</v>
      </c>
      <c r="D95" s="25" t="str">
        <f t="shared" si="4"/>
        <v>0-50</v>
      </c>
      <c r="E95" s="25">
        <f t="shared" si="5"/>
        <v>1068402</v>
      </c>
    </row>
    <row r="96" spans="1:5" x14ac:dyDescent="0.35">
      <c r="A96" s="25" t="s">
        <v>352</v>
      </c>
      <c r="B96" s="25" t="s">
        <v>791</v>
      </c>
      <c r="C96" s="25">
        <v>5.4479999999999997E-3</v>
      </c>
      <c r="D96" s="25" t="str">
        <f t="shared" si="4"/>
        <v>0-50</v>
      </c>
      <c r="E96" s="25">
        <f t="shared" si="5"/>
        <v>1056108</v>
      </c>
    </row>
    <row r="97" spans="1:5" x14ac:dyDescent="0.35">
      <c r="A97" s="25" t="s">
        <v>239</v>
      </c>
      <c r="B97" s="25" t="s">
        <v>697</v>
      </c>
      <c r="C97" s="25">
        <v>3.288E-2</v>
      </c>
      <c r="D97" s="25" t="str">
        <f t="shared" si="4"/>
        <v>0-50</v>
      </c>
      <c r="E97" s="25">
        <f t="shared" si="5"/>
        <v>999710</v>
      </c>
    </row>
    <row r="98" spans="1:5" x14ac:dyDescent="0.35">
      <c r="A98" s="25" t="s">
        <v>415</v>
      </c>
      <c r="B98" s="25" t="s">
        <v>845</v>
      </c>
      <c r="C98" s="25">
        <v>6.9080000000000001E-3</v>
      </c>
      <c r="D98" s="25" t="str">
        <f t="shared" ref="D98:D129" si="6">IF(C98&lt;=50,"0-50","&gt;50")</f>
        <v>0-50</v>
      </c>
      <c r="E98" s="25">
        <f t="shared" ref="E98:E129" si="7">IFERROR(VALUE(SUBSTITUTE(SUBSTITUTE(B98,"$",""),",","")),0)</f>
        <v>977333</v>
      </c>
    </row>
    <row r="99" spans="1:5" x14ac:dyDescent="0.35">
      <c r="A99" s="25" t="s">
        <v>348</v>
      </c>
      <c r="B99" s="25" t="s">
        <v>787</v>
      </c>
      <c r="C99" s="25">
        <v>5.5209999999999999E-3</v>
      </c>
      <c r="D99" s="25" t="str">
        <f t="shared" si="6"/>
        <v>0-50</v>
      </c>
      <c r="E99" s="25">
        <f t="shared" si="7"/>
        <v>973654</v>
      </c>
    </row>
    <row r="100" spans="1:5" x14ac:dyDescent="0.35">
      <c r="A100" s="25" t="s">
        <v>350</v>
      </c>
      <c r="B100" s="25" t="s">
        <v>789</v>
      </c>
      <c r="C100" s="25">
        <v>9.0029999999999999E-2</v>
      </c>
      <c r="D100" s="25" t="str">
        <f t="shared" si="6"/>
        <v>0-50</v>
      </c>
      <c r="E100" s="25">
        <f t="shared" si="7"/>
        <v>955799</v>
      </c>
    </row>
    <row r="101" spans="1:5" x14ac:dyDescent="0.35">
      <c r="A101" s="25" t="s">
        <v>442</v>
      </c>
      <c r="B101" s="25" t="s">
        <v>868</v>
      </c>
      <c r="C101" s="25">
        <v>2.003E-3</v>
      </c>
      <c r="D101" s="25" t="str">
        <f t="shared" si="6"/>
        <v>0-50</v>
      </c>
      <c r="E101" s="25">
        <f t="shared" si="7"/>
        <v>944920</v>
      </c>
    </row>
    <row r="102" spans="1:5" x14ac:dyDescent="0.35">
      <c r="A102" s="25" t="s">
        <v>255</v>
      </c>
      <c r="B102" s="25" t="s">
        <v>711</v>
      </c>
      <c r="C102" s="25">
        <v>1.8370000000000001E-2</v>
      </c>
      <c r="D102" s="25" t="str">
        <f t="shared" si="6"/>
        <v>0-50</v>
      </c>
      <c r="E102" s="25">
        <f t="shared" si="7"/>
        <v>884405</v>
      </c>
    </row>
    <row r="103" spans="1:5" x14ac:dyDescent="0.35">
      <c r="A103" s="25" t="s">
        <v>188</v>
      </c>
      <c r="B103" s="25" t="s">
        <v>659</v>
      </c>
      <c r="C103" s="25">
        <v>2.13</v>
      </c>
      <c r="D103" s="25" t="str">
        <f t="shared" si="6"/>
        <v>0-50</v>
      </c>
      <c r="E103" s="25">
        <f t="shared" si="7"/>
        <v>867656</v>
      </c>
    </row>
    <row r="104" spans="1:5" x14ac:dyDescent="0.35">
      <c r="A104" s="25" t="s">
        <v>455</v>
      </c>
      <c r="B104" s="25" t="s">
        <v>879</v>
      </c>
      <c r="C104" s="25">
        <v>0.1976</v>
      </c>
      <c r="D104" s="25" t="str">
        <f t="shared" si="6"/>
        <v>0-50</v>
      </c>
      <c r="E104" s="25">
        <f t="shared" si="7"/>
        <v>858809</v>
      </c>
    </row>
    <row r="105" spans="1:5" x14ac:dyDescent="0.35">
      <c r="A105" s="25" t="s">
        <v>152</v>
      </c>
      <c r="B105" s="25" t="s">
        <v>633</v>
      </c>
      <c r="C105" s="25">
        <v>1.1769999999999999E-2</v>
      </c>
      <c r="D105" s="25" t="str">
        <f t="shared" si="6"/>
        <v>0-50</v>
      </c>
      <c r="E105" s="25">
        <f t="shared" si="7"/>
        <v>817224</v>
      </c>
    </row>
    <row r="106" spans="1:5" x14ac:dyDescent="0.35">
      <c r="A106" s="25" t="s">
        <v>86</v>
      </c>
      <c r="B106" s="25" t="s">
        <v>587</v>
      </c>
      <c r="C106" s="25">
        <v>7.3550000000000004E-4</v>
      </c>
      <c r="D106" s="25" t="str">
        <f t="shared" si="6"/>
        <v>0-50</v>
      </c>
      <c r="E106" s="25">
        <f t="shared" si="7"/>
        <v>772538</v>
      </c>
    </row>
    <row r="107" spans="1:5" x14ac:dyDescent="0.35">
      <c r="A107" s="25" t="s">
        <v>381</v>
      </c>
      <c r="B107" s="25" t="s">
        <v>815</v>
      </c>
      <c r="C107" s="25">
        <v>5.3982000000000002E-2</v>
      </c>
      <c r="D107" s="25" t="str">
        <f t="shared" si="6"/>
        <v>0-50</v>
      </c>
      <c r="E107" s="25">
        <f t="shared" si="7"/>
        <v>727913</v>
      </c>
    </row>
    <row r="108" spans="1:5" x14ac:dyDescent="0.35">
      <c r="A108" s="25" t="s">
        <v>343</v>
      </c>
      <c r="B108" s="25" t="s">
        <v>783</v>
      </c>
      <c r="C108" s="25">
        <v>0.33090000000000003</v>
      </c>
      <c r="D108" s="25" t="str">
        <f t="shared" si="6"/>
        <v>0-50</v>
      </c>
      <c r="E108" s="25">
        <f t="shared" si="7"/>
        <v>721629</v>
      </c>
    </row>
    <row r="109" spans="1:5" x14ac:dyDescent="0.35">
      <c r="A109" s="25" t="s">
        <v>417</v>
      </c>
      <c r="B109" s="25" t="s">
        <v>847</v>
      </c>
      <c r="C109" s="25">
        <v>2.632E-2</v>
      </c>
      <c r="D109" s="25" t="str">
        <f t="shared" si="6"/>
        <v>0-50</v>
      </c>
      <c r="E109" s="25">
        <f t="shared" si="7"/>
        <v>721481</v>
      </c>
    </row>
    <row r="110" spans="1:5" x14ac:dyDescent="0.35">
      <c r="A110" s="25" t="s">
        <v>291</v>
      </c>
      <c r="B110" s="25" t="s">
        <v>741</v>
      </c>
      <c r="C110" s="25">
        <v>0.42120000000000002</v>
      </c>
      <c r="D110" s="25" t="str">
        <f t="shared" si="6"/>
        <v>0-50</v>
      </c>
      <c r="E110" s="25">
        <f t="shared" si="7"/>
        <v>708276</v>
      </c>
    </row>
    <row r="111" spans="1:5" ht="29" x14ac:dyDescent="0.35">
      <c r="A111" s="25" t="s">
        <v>362</v>
      </c>
      <c r="B111" s="25" t="s">
        <v>799</v>
      </c>
      <c r="C111" s="25">
        <v>0.53059999999999996</v>
      </c>
      <c r="D111" s="25" t="str">
        <f t="shared" si="6"/>
        <v>0-50</v>
      </c>
      <c r="E111" s="25">
        <f t="shared" si="7"/>
        <v>697351</v>
      </c>
    </row>
    <row r="112" spans="1:5" x14ac:dyDescent="0.35">
      <c r="A112" s="25" t="s">
        <v>284</v>
      </c>
      <c r="B112" s="25" t="s">
        <v>735</v>
      </c>
      <c r="C112" s="25">
        <v>7.8300000000000002E-3</v>
      </c>
      <c r="D112" s="25" t="str">
        <f t="shared" si="6"/>
        <v>0-50</v>
      </c>
      <c r="E112" s="25">
        <f t="shared" si="7"/>
        <v>680959</v>
      </c>
    </row>
    <row r="113" spans="1:5" x14ac:dyDescent="0.35">
      <c r="A113" s="25" t="s">
        <v>277</v>
      </c>
      <c r="B113" s="25" t="s">
        <v>729</v>
      </c>
      <c r="C113" s="25">
        <v>0.3211</v>
      </c>
      <c r="D113" s="25" t="str">
        <f t="shared" si="6"/>
        <v>0-50</v>
      </c>
      <c r="E113" s="25">
        <f t="shared" si="7"/>
        <v>654812</v>
      </c>
    </row>
    <row r="114" spans="1:5" x14ac:dyDescent="0.35">
      <c r="A114" s="25" t="s">
        <v>482</v>
      </c>
      <c r="B114" s="25" t="s">
        <v>901</v>
      </c>
      <c r="C114" s="25">
        <v>1.565E-3</v>
      </c>
      <c r="D114" s="25" t="str">
        <f t="shared" si="6"/>
        <v>0-50</v>
      </c>
      <c r="E114" s="25">
        <f t="shared" si="7"/>
        <v>606685</v>
      </c>
    </row>
    <row r="115" spans="1:5" x14ac:dyDescent="0.35">
      <c r="A115" s="25" t="s">
        <v>299</v>
      </c>
      <c r="B115" s="25" t="s">
        <v>747</v>
      </c>
      <c r="C115" s="25">
        <v>146.91999999999999</v>
      </c>
      <c r="D115" s="25" t="str">
        <f t="shared" si="6"/>
        <v>&gt;50</v>
      </c>
      <c r="E115" s="25">
        <f t="shared" si="7"/>
        <v>525209</v>
      </c>
    </row>
    <row r="116" spans="1:5" x14ac:dyDescent="0.35">
      <c r="A116" s="25" t="s">
        <v>119</v>
      </c>
      <c r="B116" s="25" t="s">
        <v>611</v>
      </c>
      <c r="C116" s="25">
        <v>0.73740000000000006</v>
      </c>
      <c r="D116" s="25" t="str">
        <f t="shared" si="6"/>
        <v>0-50</v>
      </c>
      <c r="E116" s="25">
        <f t="shared" si="7"/>
        <v>522812</v>
      </c>
    </row>
    <row r="117" spans="1:5" x14ac:dyDescent="0.35">
      <c r="A117" s="25" t="s">
        <v>338</v>
      </c>
      <c r="B117" s="25" t="s">
        <v>780</v>
      </c>
      <c r="C117" s="25">
        <v>1.508E-2</v>
      </c>
      <c r="D117" s="25" t="str">
        <f t="shared" si="6"/>
        <v>0-50</v>
      </c>
      <c r="E117" s="25">
        <f t="shared" si="7"/>
        <v>495661</v>
      </c>
    </row>
    <row r="118" spans="1:5" x14ac:dyDescent="0.35">
      <c r="A118" s="25" t="s">
        <v>68</v>
      </c>
      <c r="B118" s="25" t="s">
        <v>573</v>
      </c>
      <c r="C118" s="25">
        <v>3.26</v>
      </c>
      <c r="D118" s="25" t="str">
        <f t="shared" si="6"/>
        <v>0-50</v>
      </c>
      <c r="E118" s="25">
        <f t="shared" si="7"/>
        <v>486945</v>
      </c>
    </row>
    <row r="119" spans="1:5" x14ac:dyDescent="0.35">
      <c r="A119" s="25" t="s">
        <v>149</v>
      </c>
      <c r="B119" s="25" t="s">
        <v>631</v>
      </c>
      <c r="C119" s="25">
        <v>6.6350000000000003E-3</v>
      </c>
      <c r="D119" s="25" t="str">
        <f t="shared" si="6"/>
        <v>0-50</v>
      </c>
      <c r="E119" s="25">
        <f t="shared" si="7"/>
        <v>448016</v>
      </c>
    </row>
    <row r="120" spans="1:5" x14ac:dyDescent="0.35">
      <c r="A120" s="25" t="s">
        <v>359</v>
      </c>
      <c r="B120" s="25" t="s">
        <v>797</v>
      </c>
      <c r="C120" s="25">
        <v>1.011E-3</v>
      </c>
      <c r="D120" s="25" t="str">
        <f t="shared" si="6"/>
        <v>0-50</v>
      </c>
      <c r="E120" s="25">
        <f t="shared" si="7"/>
        <v>432080</v>
      </c>
    </row>
    <row r="121" spans="1:5" x14ac:dyDescent="0.35">
      <c r="A121" s="25" t="s">
        <v>495</v>
      </c>
      <c r="B121" s="25" t="s">
        <v>913</v>
      </c>
      <c r="C121" s="25">
        <v>1.286E-3</v>
      </c>
      <c r="D121" s="25" t="str">
        <f t="shared" si="6"/>
        <v>0-50</v>
      </c>
      <c r="E121" s="25">
        <f t="shared" si="7"/>
        <v>395470</v>
      </c>
    </row>
    <row r="122" spans="1:5" x14ac:dyDescent="0.35">
      <c r="A122" s="25" t="s">
        <v>367</v>
      </c>
      <c r="B122" s="25" t="s">
        <v>803</v>
      </c>
      <c r="C122" s="25">
        <v>1.885E-3</v>
      </c>
      <c r="D122" s="25" t="str">
        <f t="shared" si="6"/>
        <v>0-50</v>
      </c>
      <c r="E122" s="25">
        <f t="shared" si="7"/>
        <v>392111</v>
      </c>
    </row>
    <row r="123" spans="1:5" x14ac:dyDescent="0.35">
      <c r="A123" s="25" t="s">
        <v>234</v>
      </c>
      <c r="B123" s="25" t="s">
        <v>693</v>
      </c>
      <c r="C123" s="25">
        <v>1.2229999999999999E-3</v>
      </c>
      <c r="D123" s="25" t="str">
        <f t="shared" si="6"/>
        <v>0-50</v>
      </c>
      <c r="E123" s="25">
        <f t="shared" si="7"/>
        <v>362962</v>
      </c>
    </row>
    <row r="124" spans="1:5" x14ac:dyDescent="0.35">
      <c r="A124" s="25" t="s">
        <v>319</v>
      </c>
      <c r="B124" s="25" t="s">
        <v>763</v>
      </c>
      <c r="C124" s="25">
        <v>1.413E-2</v>
      </c>
      <c r="D124" s="25" t="str">
        <f t="shared" si="6"/>
        <v>0-50</v>
      </c>
      <c r="E124" s="25">
        <f t="shared" si="7"/>
        <v>351905</v>
      </c>
    </row>
    <row r="125" spans="1:5" x14ac:dyDescent="0.35">
      <c r="A125" s="25" t="s">
        <v>260</v>
      </c>
      <c r="B125" s="25" t="s">
        <v>715</v>
      </c>
      <c r="C125" s="25">
        <v>7.1993000000000001E-2</v>
      </c>
      <c r="D125" s="25" t="str">
        <f t="shared" si="6"/>
        <v>0-50</v>
      </c>
      <c r="E125" s="25">
        <f t="shared" si="7"/>
        <v>326498</v>
      </c>
    </row>
    <row r="126" spans="1:5" ht="29" x14ac:dyDescent="0.35">
      <c r="A126" s="25" t="s">
        <v>448</v>
      </c>
      <c r="B126" s="25" t="s">
        <v>873</v>
      </c>
      <c r="C126" s="25">
        <v>4.5649999999999996E-3</v>
      </c>
      <c r="D126" s="25" t="str">
        <f t="shared" si="6"/>
        <v>0-50</v>
      </c>
      <c r="E126" s="25">
        <f t="shared" si="7"/>
        <v>290910</v>
      </c>
    </row>
    <row r="127" spans="1:5" ht="29" x14ac:dyDescent="0.35">
      <c r="A127" s="25" t="s">
        <v>433</v>
      </c>
      <c r="B127" s="25" t="s">
        <v>860</v>
      </c>
      <c r="C127" s="25">
        <v>2.5270000000000002E-3</v>
      </c>
      <c r="D127" s="25" t="str">
        <f t="shared" si="6"/>
        <v>0-50</v>
      </c>
      <c r="E127" s="25">
        <f t="shared" si="7"/>
        <v>274603</v>
      </c>
    </row>
    <row r="128" spans="1:5" x14ac:dyDescent="0.35">
      <c r="A128" s="25" t="s">
        <v>236</v>
      </c>
      <c r="B128" s="25" t="s">
        <v>695</v>
      </c>
      <c r="C128" s="25">
        <v>2.5230000000000001E-3</v>
      </c>
      <c r="D128" s="25" t="str">
        <f t="shared" si="6"/>
        <v>0-50</v>
      </c>
      <c r="E128" s="25">
        <f t="shared" si="7"/>
        <v>268389</v>
      </c>
    </row>
    <row r="129" spans="1:5" x14ac:dyDescent="0.35">
      <c r="A129" s="25" t="s">
        <v>186</v>
      </c>
      <c r="B129" s="25" t="s">
        <v>657</v>
      </c>
      <c r="C129" s="25">
        <v>1.4970000000000001E-2</v>
      </c>
      <c r="D129" s="25" t="str">
        <f t="shared" si="6"/>
        <v>0-50</v>
      </c>
      <c r="E129" s="25">
        <f t="shared" si="7"/>
        <v>260802</v>
      </c>
    </row>
    <row r="130" spans="1:5" x14ac:dyDescent="0.35">
      <c r="A130" s="25" t="s">
        <v>201</v>
      </c>
      <c r="B130" s="25" t="s">
        <v>669</v>
      </c>
      <c r="C130" s="25">
        <v>0.29930000000000001</v>
      </c>
      <c r="D130" s="25" t="str">
        <f t="shared" ref="D130:D161" si="8">IF(C130&lt;=50,"0-50","&gt;50")</f>
        <v>0-50</v>
      </c>
      <c r="E130" s="25">
        <f t="shared" ref="E130:E161" si="9">IFERROR(VALUE(SUBSTITUTE(SUBSTITUTE(B130,"$",""),",","")),0)</f>
        <v>254347</v>
      </c>
    </row>
    <row r="131" spans="1:5" x14ac:dyDescent="0.35">
      <c r="A131" s="25" t="s">
        <v>194</v>
      </c>
      <c r="B131" s="25" t="s">
        <v>663</v>
      </c>
      <c r="C131" s="25">
        <v>2.1000000000000001E-2</v>
      </c>
      <c r="D131" s="25" t="str">
        <f t="shared" si="8"/>
        <v>0-50</v>
      </c>
      <c r="E131" s="25">
        <f t="shared" si="9"/>
        <v>252063</v>
      </c>
    </row>
    <row r="132" spans="1:5" x14ac:dyDescent="0.35">
      <c r="A132" s="25" t="s">
        <v>413</v>
      </c>
      <c r="B132" s="25" t="s">
        <v>843</v>
      </c>
      <c r="C132" s="25">
        <v>7.4697E-2</v>
      </c>
      <c r="D132" s="25" t="str">
        <f t="shared" si="8"/>
        <v>0-50</v>
      </c>
      <c r="E132" s="25">
        <f t="shared" si="9"/>
        <v>239395</v>
      </c>
    </row>
    <row r="133" spans="1:5" x14ac:dyDescent="0.35">
      <c r="A133" s="25" t="s">
        <v>316</v>
      </c>
      <c r="B133" s="25" t="s">
        <v>761</v>
      </c>
      <c r="C133" s="25">
        <v>9.4009999999999996E-3</v>
      </c>
      <c r="D133" s="25" t="str">
        <f t="shared" si="8"/>
        <v>0-50</v>
      </c>
      <c r="E133" s="25">
        <f t="shared" si="9"/>
        <v>232710</v>
      </c>
    </row>
    <row r="134" spans="1:5" x14ac:dyDescent="0.35">
      <c r="A134" s="25" t="s">
        <v>408</v>
      </c>
      <c r="B134" s="25" t="s">
        <v>839</v>
      </c>
      <c r="C134" s="25">
        <v>7.7060000000000002E-3</v>
      </c>
      <c r="D134" s="25" t="str">
        <f t="shared" si="8"/>
        <v>0-50</v>
      </c>
      <c r="E134" s="25">
        <f t="shared" si="9"/>
        <v>220065</v>
      </c>
    </row>
    <row r="135" spans="1:5" x14ac:dyDescent="0.35">
      <c r="A135" s="25" t="s">
        <v>302</v>
      </c>
      <c r="B135" s="25" t="s">
        <v>749</v>
      </c>
      <c r="C135" s="25">
        <v>1.392E-4</v>
      </c>
      <c r="D135" s="25" t="str">
        <f t="shared" si="8"/>
        <v>0-50</v>
      </c>
      <c r="E135" s="25">
        <f t="shared" si="9"/>
        <v>202163</v>
      </c>
    </row>
    <row r="136" spans="1:5" x14ac:dyDescent="0.35">
      <c r="A136" s="25" t="s">
        <v>467</v>
      </c>
      <c r="B136" s="25" t="s">
        <v>889</v>
      </c>
      <c r="C136" s="25">
        <v>9.6310000000000007E-3</v>
      </c>
      <c r="D136" s="25" t="str">
        <f t="shared" si="8"/>
        <v>0-50</v>
      </c>
      <c r="E136" s="25">
        <f t="shared" si="9"/>
        <v>201257</v>
      </c>
    </row>
    <row r="137" spans="1:5" x14ac:dyDescent="0.35">
      <c r="A137" s="25" t="s">
        <v>324</v>
      </c>
      <c r="B137" s="25" t="s">
        <v>767</v>
      </c>
      <c r="C137" s="25">
        <v>9.2256000000000005E-2</v>
      </c>
      <c r="D137" s="25" t="str">
        <f t="shared" si="8"/>
        <v>0-50</v>
      </c>
      <c r="E137" s="25">
        <f t="shared" si="9"/>
        <v>196385</v>
      </c>
    </row>
    <row r="138" spans="1:5" x14ac:dyDescent="0.35">
      <c r="A138" s="25" t="s">
        <v>372</v>
      </c>
      <c r="B138" s="25" t="s">
        <v>807</v>
      </c>
      <c r="C138" s="25">
        <v>2.2479999999999999E-4</v>
      </c>
      <c r="D138" s="25" t="str">
        <f t="shared" si="8"/>
        <v>0-50</v>
      </c>
      <c r="E138" s="25">
        <f t="shared" si="9"/>
        <v>193524</v>
      </c>
    </row>
    <row r="139" spans="1:5" x14ac:dyDescent="0.35">
      <c r="A139" s="25" t="s">
        <v>258</v>
      </c>
      <c r="B139" s="25" t="s">
        <v>713</v>
      </c>
      <c r="C139" s="25">
        <v>5.3610999999999999E-2</v>
      </c>
      <c r="D139" s="25" t="str">
        <f t="shared" si="8"/>
        <v>0-50</v>
      </c>
      <c r="E139" s="25">
        <f t="shared" si="9"/>
        <v>191600</v>
      </c>
    </row>
    <row r="140" spans="1:5" x14ac:dyDescent="0.35">
      <c r="A140" s="25" t="s">
        <v>330</v>
      </c>
      <c r="B140" s="25" t="s">
        <v>772</v>
      </c>
      <c r="C140" s="25">
        <v>4.7939999999999997E-3</v>
      </c>
      <c r="D140" s="25" t="str">
        <f t="shared" si="8"/>
        <v>0-50</v>
      </c>
      <c r="E140" s="25">
        <f t="shared" si="9"/>
        <v>191443</v>
      </c>
    </row>
    <row r="141" spans="1:5" x14ac:dyDescent="0.35">
      <c r="A141" s="25" t="s">
        <v>81</v>
      </c>
      <c r="B141" s="25" t="s">
        <v>583</v>
      </c>
      <c r="C141" s="25">
        <v>1.6469999999999999E-2</v>
      </c>
      <c r="D141" s="25" t="str">
        <f t="shared" si="8"/>
        <v>0-50</v>
      </c>
      <c r="E141" s="25">
        <f t="shared" si="9"/>
        <v>183208</v>
      </c>
    </row>
    <row r="142" spans="1:5" ht="29" x14ac:dyDescent="0.35">
      <c r="A142" s="25" t="s">
        <v>429</v>
      </c>
      <c r="B142" s="25" t="s">
        <v>856</v>
      </c>
      <c r="C142" s="25">
        <v>4.8439999999999997E-2</v>
      </c>
      <c r="D142" s="25" t="str">
        <f t="shared" si="8"/>
        <v>0-50</v>
      </c>
      <c r="E142" s="25">
        <f t="shared" si="9"/>
        <v>174927</v>
      </c>
    </row>
    <row r="143" spans="1:5" x14ac:dyDescent="0.35">
      <c r="A143" s="25" t="s">
        <v>231</v>
      </c>
      <c r="B143" s="25" t="s">
        <v>691</v>
      </c>
      <c r="C143" s="25">
        <v>2.0410000000000001E-2</v>
      </c>
      <c r="D143" s="25" t="str">
        <f t="shared" si="8"/>
        <v>0-50</v>
      </c>
      <c r="E143" s="25">
        <f t="shared" si="9"/>
        <v>174082</v>
      </c>
    </row>
    <row r="144" spans="1:5" x14ac:dyDescent="0.35">
      <c r="A144" s="25" t="s">
        <v>374</v>
      </c>
      <c r="B144" s="25" t="s">
        <v>809</v>
      </c>
      <c r="C144" s="25">
        <v>5.1470000000000002E-2</v>
      </c>
      <c r="D144" s="25" t="str">
        <f t="shared" si="8"/>
        <v>0-50</v>
      </c>
      <c r="E144" s="25">
        <f t="shared" si="9"/>
        <v>168650</v>
      </c>
    </row>
    <row r="145" spans="1:5" x14ac:dyDescent="0.35">
      <c r="A145" s="25" t="s">
        <v>332</v>
      </c>
      <c r="B145" s="25" t="s">
        <v>774</v>
      </c>
      <c r="C145" s="25">
        <v>1.839E-2</v>
      </c>
      <c r="D145" s="25" t="str">
        <f t="shared" si="8"/>
        <v>0-50</v>
      </c>
      <c r="E145" s="25">
        <f t="shared" si="9"/>
        <v>166190</v>
      </c>
    </row>
    <row r="146" spans="1:5" x14ac:dyDescent="0.35">
      <c r="A146" s="25" t="s">
        <v>396</v>
      </c>
      <c r="B146" s="25" t="s">
        <v>829</v>
      </c>
      <c r="C146" s="25">
        <v>2.8370000000000001E-5</v>
      </c>
      <c r="D146" s="25" t="str">
        <f t="shared" si="8"/>
        <v>0-50</v>
      </c>
      <c r="E146" s="25">
        <f t="shared" si="9"/>
        <v>157680</v>
      </c>
    </row>
    <row r="147" spans="1:5" x14ac:dyDescent="0.35">
      <c r="A147" s="25" t="s">
        <v>411</v>
      </c>
      <c r="B147" s="25" t="s">
        <v>841</v>
      </c>
      <c r="C147" s="25">
        <v>1.06E-2</v>
      </c>
      <c r="D147" s="25" t="str">
        <f t="shared" si="8"/>
        <v>0-50</v>
      </c>
      <c r="E147" s="25">
        <f t="shared" si="9"/>
        <v>155287</v>
      </c>
    </row>
    <row r="148" spans="1:5" x14ac:dyDescent="0.35">
      <c r="A148" s="25" t="s">
        <v>354</v>
      </c>
      <c r="B148" s="25" t="s">
        <v>793</v>
      </c>
      <c r="C148" s="25">
        <v>2.954E-2</v>
      </c>
      <c r="D148" s="25" t="str">
        <f t="shared" si="8"/>
        <v>0-50</v>
      </c>
      <c r="E148" s="25">
        <f t="shared" si="9"/>
        <v>153889</v>
      </c>
    </row>
    <row r="149" spans="1:5" x14ac:dyDescent="0.35">
      <c r="A149" s="25" t="s">
        <v>487</v>
      </c>
      <c r="B149" s="25" t="s">
        <v>907</v>
      </c>
      <c r="C149" s="25">
        <v>4.9459999999999999E-4</v>
      </c>
      <c r="D149" s="25" t="str">
        <f t="shared" si="8"/>
        <v>0-50</v>
      </c>
      <c r="E149" s="25">
        <f t="shared" si="9"/>
        <v>150756</v>
      </c>
    </row>
    <row r="150" spans="1:5" x14ac:dyDescent="0.35">
      <c r="A150" s="25" t="s">
        <v>83</v>
      </c>
      <c r="B150" s="25" t="s">
        <v>585</v>
      </c>
      <c r="C150" s="25">
        <v>0.49459999999999998</v>
      </c>
      <c r="D150" s="25" t="str">
        <f t="shared" si="8"/>
        <v>0-50</v>
      </c>
      <c r="E150" s="25">
        <f t="shared" si="9"/>
        <v>138536</v>
      </c>
    </row>
    <row r="151" spans="1:5" ht="29" x14ac:dyDescent="0.35">
      <c r="A151" s="25" t="s">
        <v>356</v>
      </c>
      <c r="B151" s="25" t="s">
        <v>795</v>
      </c>
      <c r="C151" s="25">
        <v>2.2859999999999998E-3</v>
      </c>
      <c r="D151" s="25" t="str">
        <f t="shared" si="8"/>
        <v>0-50</v>
      </c>
      <c r="E151" s="25">
        <f t="shared" si="9"/>
        <v>130770</v>
      </c>
    </row>
    <row r="152" spans="1:5" x14ac:dyDescent="0.35">
      <c r="A152" s="25" t="s">
        <v>274</v>
      </c>
      <c r="B152" s="25" t="s">
        <v>727</v>
      </c>
      <c r="C152" s="25">
        <v>6.8440000000000001E-2</v>
      </c>
      <c r="D152" s="25" t="str">
        <f t="shared" si="8"/>
        <v>0-50</v>
      </c>
      <c r="E152" s="25">
        <f t="shared" si="9"/>
        <v>128760</v>
      </c>
    </row>
    <row r="153" spans="1:5" x14ac:dyDescent="0.35">
      <c r="A153" s="25" t="s">
        <v>473</v>
      </c>
      <c r="B153" s="25" t="s">
        <v>895</v>
      </c>
      <c r="C153" s="25">
        <v>7.5139999999999998E-2</v>
      </c>
      <c r="D153" s="25" t="str">
        <f t="shared" si="8"/>
        <v>0-50</v>
      </c>
      <c r="E153" s="25">
        <f t="shared" si="9"/>
        <v>119741</v>
      </c>
    </row>
    <row r="154" spans="1:5" x14ac:dyDescent="0.35">
      <c r="A154" s="25" t="s">
        <v>453</v>
      </c>
      <c r="B154" s="25" t="s">
        <v>877</v>
      </c>
      <c r="C154" s="25">
        <v>1.5070000000000001E-3</v>
      </c>
      <c r="D154" s="25" t="str">
        <f t="shared" si="8"/>
        <v>0-50</v>
      </c>
      <c r="E154" s="25">
        <f t="shared" si="9"/>
        <v>117957</v>
      </c>
    </row>
    <row r="155" spans="1:5" x14ac:dyDescent="0.35">
      <c r="A155" s="25" t="s">
        <v>400</v>
      </c>
      <c r="B155" s="25" t="s">
        <v>833</v>
      </c>
      <c r="C155" s="25">
        <v>1.094E-2</v>
      </c>
      <c r="D155" s="25" t="str">
        <f t="shared" si="8"/>
        <v>0-50</v>
      </c>
      <c r="E155" s="25">
        <f t="shared" si="9"/>
        <v>117948</v>
      </c>
    </row>
    <row r="156" spans="1:5" x14ac:dyDescent="0.35">
      <c r="A156" s="25" t="s">
        <v>472</v>
      </c>
      <c r="B156" s="25" t="s">
        <v>893</v>
      </c>
      <c r="C156" s="25">
        <v>3.4099999999999998E-3</v>
      </c>
      <c r="D156" s="25" t="str">
        <f t="shared" si="8"/>
        <v>0-50</v>
      </c>
      <c r="E156" s="25">
        <f t="shared" si="9"/>
        <v>115234</v>
      </c>
    </row>
    <row r="157" spans="1:5" x14ac:dyDescent="0.35">
      <c r="A157" s="25" t="s">
        <v>460</v>
      </c>
      <c r="B157" s="25" t="s">
        <v>883</v>
      </c>
      <c r="C157" s="25">
        <v>3.1489999999999999E-3</v>
      </c>
      <c r="D157" s="25" t="str">
        <f t="shared" si="8"/>
        <v>0-50</v>
      </c>
      <c r="E157" s="25">
        <f t="shared" si="9"/>
        <v>109870</v>
      </c>
    </row>
    <row r="158" spans="1:5" x14ac:dyDescent="0.35">
      <c r="A158" s="25" t="s">
        <v>425</v>
      </c>
      <c r="B158" s="25" t="s">
        <v>852</v>
      </c>
      <c r="C158" s="25">
        <v>2.2959999999999999E-3</v>
      </c>
      <c r="D158" s="25" t="str">
        <f t="shared" si="8"/>
        <v>0-50</v>
      </c>
      <c r="E158" s="25">
        <f t="shared" si="9"/>
        <v>107281</v>
      </c>
    </row>
    <row r="159" spans="1:5" x14ac:dyDescent="0.35">
      <c r="A159" s="25" t="s">
        <v>462</v>
      </c>
      <c r="B159" s="25" t="s">
        <v>885</v>
      </c>
      <c r="C159" s="25">
        <v>7.8279999999999999E-3</v>
      </c>
      <c r="D159" s="25" t="str">
        <f t="shared" si="8"/>
        <v>0-50</v>
      </c>
      <c r="E159" s="25">
        <f t="shared" si="9"/>
        <v>106039</v>
      </c>
    </row>
    <row r="160" spans="1:5" x14ac:dyDescent="0.35">
      <c r="A160" s="25" t="s">
        <v>169</v>
      </c>
      <c r="B160" s="25" t="s">
        <v>645</v>
      </c>
      <c r="C160" s="25">
        <v>9.67</v>
      </c>
      <c r="D160" s="25" t="str">
        <f t="shared" si="8"/>
        <v>0-50</v>
      </c>
      <c r="E160" s="25">
        <f t="shared" si="9"/>
        <v>101491</v>
      </c>
    </row>
    <row r="161" spans="1:5" x14ac:dyDescent="0.35">
      <c r="A161" s="25" t="s">
        <v>484</v>
      </c>
      <c r="B161" s="25" t="s">
        <v>903</v>
      </c>
      <c r="C161" s="25">
        <v>4.2460000000000002E-4</v>
      </c>
      <c r="D161" s="25" t="str">
        <f t="shared" si="8"/>
        <v>0-50</v>
      </c>
      <c r="E161" s="25">
        <f t="shared" si="9"/>
        <v>86086</v>
      </c>
    </row>
    <row r="162" spans="1:5" x14ac:dyDescent="0.35">
      <c r="A162" s="25" t="s">
        <v>392</v>
      </c>
      <c r="B162" s="25" t="s">
        <v>825</v>
      </c>
      <c r="C162" s="25">
        <v>0.53049999999999997</v>
      </c>
      <c r="D162" s="25" t="str">
        <f t="shared" ref="D162:D193" si="10">IF(C162&lt;=50,"0-50","&gt;50")</f>
        <v>0-50</v>
      </c>
      <c r="E162" s="25">
        <f t="shared" ref="E162:E193" si="11">IFERROR(VALUE(SUBSTITUTE(SUBSTITUTE(B162,"$",""),",","")),0)</f>
        <v>85411</v>
      </c>
    </row>
    <row r="163" spans="1:5" x14ac:dyDescent="0.35">
      <c r="A163" s="25" t="s">
        <v>309</v>
      </c>
      <c r="B163" s="25" t="s">
        <v>755</v>
      </c>
      <c r="C163" s="25">
        <v>9.0589999999999993E-3</v>
      </c>
      <c r="D163" s="25" t="str">
        <f t="shared" si="10"/>
        <v>0-50</v>
      </c>
      <c r="E163" s="25">
        <f t="shared" si="11"/>
        <v>75137</v>
      </c>
    </row>
    <row r="164" spans="1:5" x14ac:dyDescent="0.35">
      <c r="A164" s="25" t="s">
        <v>369</v>
      </c>
      <c r="B164" s="25" t="s">
        <v>805</v>
      </c>
      <c r="C164" s="25">
        <v>4.9799999999999997E-2</v>
      </c>
      <c r="D164" s="25" t="str">
        <f t="shared" si="10"/>
        <v>0-50</v>
      </c>
      <c r="E164" s="25">
        <f t="shared" si="11"/>
        <v>75107</v>
      </c>
    </row>
    <row r="165" spans="1:5" x14ac:dyDescent="0.35">
      <c r="A165" s="25" t="s">
        <v>398</v>
      </c>
      <c r="B165" s="25" t="s">
        <v>831</v>
      </c>
      <c r="C165" s="25">
        <v>8.03E-4</v>
      </c>
      <c r="D165" s="25" t="str">
        <f t="shared" si="10"/>
        <v>0-50</v>
      </c>
      <c r="E165" s="25">
        <f t="shared" si="11"/>
        <v>72433</v>
      </c>
    </row>
    <row r="166" spans="1:5" ht="29" x14ac:dyDescent="0.35">
      <c r="A166" s="25" t="s">
        <v>436</v>
      </c>
      <c r="B166" s="25" t="s">
        <v>862</v>
      </c>
      <c r="C166" s="25">
        <v>2.283E-2</v>
      </c>
      <c r="D166" s="25" t="str">
        <f t="shared" si="10"/>
        <v>0-50</v>
      </c>
      <c r="E166" s="25">
        <f t="shared" si="11"/>
        <v>69191</v>
      </c>
    </row>
    <row r="167" spans="1:5" x14ac:dyDescent="0.35">
      <c r="A167" s="25" t="s">
        <v>458</v>
      </c>
      <c r="B167" s="25" t="s">
        <v>881</v>
      </c>
      <c r="C167" s="25">
        <v>2.4190000000000001E-3</v>
      </c>
      <c r="D167" s="25" t="str">
        <f t="shared" si="10"/>
        <v>0-50</v>
      </c>
      <c r="E167" s="25">
        <f t="shared" si="11"/>
        <v>62197</v>
      </c>
    </row>
    <row r="168" spans="1:5" ht="29" x14ac:dyDescent="0.35">
      <c r="A168" s="25" t="s">
        <v>382</v>
      </c>
      <c r="B168" s="25" t="s">
        <v>817</v>
      </c>
      <c r="C168" s="25">
        <v>2.34</v>
      </c>
      <c r="D168" s="25" t="str">
        <f t="shared" si="10"/>
        <v>0-50</v>
      </c>
      <c r="E168" s="25">
        <f t="shared" si="11"/>
        <v>49144</v>
      </c>
    </row>
    <row r="169" spans="1:5" x14ac:dyDescent="0.35">
      <c r="A169" s="25" t="s">
        <v>475</v>
      </c>
      <c r="B169" s="25" t="s">
        <v>897</v>
      </c>
      <c r="C169" s="25">
        <v>7.633E-3</v>
      </c>
      <c r="D169" s="25" t="str">
        <f t="shared" si="10"/>
        <v>0-50</v>
      </c>
      <c r="E169" s="25">
        <f t="shared" si="11"/>
        <v>43846</v>
      </c>
    </row>
    <row r="170" spans="1:5" x14ac:dyDescent="0.35">
      <c r="A170" s="25" t="s">
        <v>334</v>
      </c>
      <c r="B170" s="25" t="s">
        <v>776</v>
      </c>
      <c r="C170" s="25">
        <v>3.6720000000000003E-2</v>
      </c>
      <c r="D170" s="25" t="str">
        <f t="shared" si="10"/>
        <v>0-50</v>
      </c>
      <c r="E170" s="25">
        <f t="shared" si="11"/>
        <v>43739</v>
      </c>
    </row>
    <row r="171" spans="1:5" x14ac:dyDescent="0.35">
      <c r="A171" s="25" t="s">
        <v>438</v>
      </c>
      <c r="B171" s="25" t="s">
        <v>864</v>
      </c>
      <c r="C171" s="25">
        <v>2.6020000000000001E-3</v>
      </c>
      <c r="D171" s="25" t="str">
        <f t="shared" si="10"/>
        <v>0-50</v>
      </c>
      <c r="E171" s="25">
        <f t="shared" si="11"/>
        <v>34103</v>
      </c>
    </row>
    <row r="172" spans="1:5" x14ac:dyDescent="0.35">
      <c r="A172" s="25" t="s">
        <v>500</v>
      </c>
      <c r="B172" s="25" t="s">
        <v>917</v>
      </c>
      <c r="C172" s="25">
        <v>6.2379999999999996E-3</v>
      </c>
      <c r="D172" s="25" t="str">
        <f t="shared" si="10"/>
        <v>0-50</v>
      </c>
      <c r="E172" s="25">
        <f t="shared" si="11"/>
        <v>32118</v>
      </c>
    </row>
    <row r="173" spans="1:5" x14ac:dyDescent="0.35">
      <c r="A173" s="25" t="s">
        <v>446</v>
      </c>
      <c r="B173" s="25" t="s">
        <v>871</v>
      </c>
      <c r="C173" s="25">
        <v>2.032E-3</v>
      </c>
      <c r="D173" s="25" t="str">
        <f t="shared" si="10"/>
        <v>0-50</v>
      </c>
      <c r="E173" s="25">
        <f t="shared" si="11"/>
        <v>25840</v>
      </c>
    </row>
    <row r="174" spans="1:5" x14ac:dyDescent="0.35">
      <c r="A174" s="25" t="s">
        <v>171</v>
      </c>
      <c r="B174" s="25" t="s">
        <v>647</v>
      </c>
      <c r="C174" s="25">
        <v>90.45</v>
      </c>
      <c r="D174" s="25" t="str">
        <f t="shared" si="10"/>
        <v>&gt;50</v>
      </c>
      <c r="E174" s="25">
        <f t="shared" si="11"/>
        <v>21125</v>
      </c>
    </row>
    <row r="175" spans="1:5" x14ac:dyDescent="0.35">
      <c r="A175" s="25" t="s">
        <v>364</v>
      </c>
      <c r="B175" s="25" t="s">
        <v>801</v>
      </c>
      <c r="C175" s="25">
        <v>5.1869999999999998E-3</v>
      </c>
      <c r="D175" s="25" t="str">
        <f t="shared" si="10"/>
        <v>0-50</v>
      </c>
      <c r="E175" s="25">
        <f t="shared" si="11"/>
        <v>17403</v>
      </c>
    </row>
    <row r="176" spans="1:5" x14ac:dyDescent="0.35">
      <c r="A176" s="25" t="s">
        <v>174</v>
      </c>
      <c r="B176" s="25" t="s">
        <v>649</v>
      </c>
      <c r="C176" s="25">
        <v>0.30309999999999998</v>
      </c>
      <c r="D176" s="25" t="str">
        <f t="shared" si="10"/>
        <v>0-50</v>
      </c>
      <c r="E176" s="25">
        <f t="shared" si="11"/>
        <v>17173</v>
      </c>
    </row>
    <row r="177" spans="1:5" x14ac:dyDescent="0.35">
      <c r="A177" s="25" t="s">
        <v>384</v>
      </c>
      <c r="B177" s="25" t="s">
        <v>819</v>
      </c>
      <c r="C177" s="25">
        <v>3.3210000000000003E-2</v>
      </c>
      <c r="D177" s="25" t="str">
        <f t="shared" si="10"/>
        <v>0-50</v>
      </c>
      <c r="E177" s="25">
        <f t="shared" si="11"/>
        <v>14376</v>
      </c>
    </row>
    <row r="178" spans="1:5" ht="43.5" x14ac:dyDescent="0.35">
      <c r="A178" s="25" t="s">
        <v>143</v>
      </c>
      <c r="B178" s="25" t="s">
        <v>627</v>
      </c>
      <c r="C178" s="25">
        <v>5.9470000000000002E-2</v>
      </c>
      <c r="D178" s="25" t="str">
        <f t="shared" si="10"/>
        <v>0-50</v>
      </c>
      <c r="E178" s="25">
        <f t="shared" si="11"/>
        <v>12909</v>
      </c>
    </row>
    <row r="179" spans="1:5" x14ac:dyDescent="0.35">
      <c r="A179" s="25" t="s">
        <v>485</v>
      </c>
      <c r="B179" s="25" t="s">
        <v>905</v>
      </c>
      <c r="C179" s="25">
        <v>4.0850000000000001E-3</v>
      </c>
      <c r="D179" s="25" t="str">
        <f t="shared" si="10"/>
        <v>0-50</v>
      </c>
      <c r="E179" s="25">
        <f t="shared" si="11"/>
        <v>11736</v>
      </c>
    </row>
    <row r="180" spans="1:5" ht="29" x14ac:dyDescent="0.35">
      <c r="A180" s="25" t="s">
        <v>389</v>
      </c>
      <c r="B180" s="25" t="s">
        <v>823</v>
      </c>
      <c r="C180" s="25">
        <v>8.2830000000000001E-2</v>
      </c>
      <c r="D180" s="25" t="str">
        <f t="shared" si="10"/>
        <v>0-50</v>
      </c>
      <c r="E180" s="25">
        <f t="shared" si="11"/>
        <v>5822</v>
      </c>
    </row>
    <row r="181" spans="1:5" x14ac:dyDescent="0.35">
      <c r="A181" s="25" t="s">
        <v>281</v>
      </c>
      <c r="B181" s="25" t="s">
        <v>733</v>
      </c>
      <c r="C181" s="25">
        <v>4.9510000000000005E-4</v>
      </c>
      <c r="D181" s="25" t="str">
        <f t="shared" si="10"/>
        <v>0-50</v>
      </c>
      <c r="E181" s="25">
        <f t="shared" si="11"/>
        <v>4772</v>
      </c>
    </row>
    <row r="182" spans="1:5" x14ac:dyDescent="0.35">
      <c r="A182" s="25" t="s">
        <v>279</v>
      </c>
      <c r="B182" s="25" t="s">
        <v>731</v>
      </c>
      <c r="C182" s="25">
        <v>0.18229999999999999</v>
      </c>
      <c r="D182" s="25" t="str">
        <f t="shared" si="10"/>
        <v>0-50</v>
      </c>
      <c r="E182" s="25">
        <f t="shared" si="11"/>
        <v>3185</v>
      </c>
    </row>
    <row r="183" spans="1:5" x14ac:dyDescent="0.35">
      <c r="A183" s="25" t="s">
        <v>394</v>
      </c>
      <c r="B183" s="25" t="s">
        <v>827</v>
      </c>
      <c r="C183" s="25">
        <v>8.4449999999999994E-3</v>
      </c>
      <c r="D183" s="25" t="str">
        <f t="shared" si="10"/>
        <v>0-50</v>
      </c>
      <c r="E183" s="25">
        <f t="shared" si="11"/>
        <v>2100</v>
      </c>
    </row>
    <row r="184" spans="1:5" x14ac:dyDescent="0.35">
      <c r="A184" s="25" t="s">
        <v>450</v>
      </c>
      <c r="B184" s="25" t="s">
        <v>875</v>
      </c>
      <c r="C184" s="25">
        <v>3.1009999999999999E-2</v>
      </c>
      <c r="D184" s="25" t="str">
        <f t="shared" si="10"/>
        <v>0-50</v>
      </c>
      <c r="E184" s="25">
        <f t="shared" si="11"/>
        <v>1872</v>
      </c>
    </row>
    <row r="185" spans="1:5" x14ac:dyDescent="0.35">
      <c r="A185" s="25" t="s">
        <v>505</v>
      </c>
      <c r="B185" s="25" t="s">
        <v>921</v>
      </c>
      <c r="C185" s="25">
        <v>1.532E-2</v>
      </c>
      <c r="D185" s="25" t="str">
        <f t="shared" si="10"/>
        <v>0-50</v>
      </c>
      <c r="E185" s="25">
        <f t="shared" si="11"/>
        <v>1855</v>
      </c>
    </row>
    <row r="186" spans="1:5" ht="29" x14ac:dyDescent="0.35">
      <c r="A186" s="25" t="s">
        <v>406</v>
      </c>
      <c r="B186" s="25" t="s">
        <v>837</v>
      </c>
      <c r="C186" s="25">
        <v>1.286E-2</v>
      </c>
      <c r="D186" s="25" t="str">
        <f t="shared" si="10"/>
        <v>0-50</v>
      </c>
      <c r="E186" s="25">
        <f t="shared" si="11"/>
        <v>1659</v>
      </c>
    </row>
    <row r="187" spans="1:5" x14ac:dyDescent="0.35">
      <c r="A187" s="25" t="s">
        <v>403</v>
      </c>
      <c r="B187" s="25" t="s">
        <v>835</v>
      </c>
      <c r="C187" s="25">
        <v>0.17610000000000001</v>
      </c>
      <c r="D187" s="25" t="str">
        <f t="shared" si="10"/>
        <v>0-50</v>
      </c>
      <c r="E187" s="25">
        <f t="shared" si="11"/>
        <v>1614</v>
      </c>
    </row>
    <row r="188" spans="1:5" x14ac:dyDescent="0.35">
      <c r="A188" s="25" t="s">
        <v>387</v>
      </c>
      <c r="B188" s="25" t="s">
        <v>821</v>
      </c>
      <c r="C188" s="25">
        <v>2.1639999999999999E-5</v>
      </c>
      <c r="D188" s="25" t="str">
        <f t="shared" si="10"/>
        <v>0-50</v>
      </c>
      <c r="E188" s="25">
        <f t="shared" si="11"/>
        <v>658</v>
      </c>
    </row>
    <row r="189" spans="1:5" x14ac:dyDescent="0.35">
      <c r="A189" s="25" t="s">
        <v>426</v>
      </c>
      <c r="B189" s="25" t="s">
        <v>854</v>
      </c>
      <c r="C189" s="25">
        <v>5.638E-2</v>
      </c>
      <c r="D189" s="25" t="str">
        <f t="shared" si="10"/>
        <v>0-50</v>
      </c>
      <c r="E189" s="25">
        <f t="shared" si="11"/>
        <v>465</v>
      </c>
    </row>
    <row r="190" spans="1:5" x14ac:dyDescent="0.35">
      <c r="A190" s="25" t="s">
        <v>431</v>
      </c>
      <c r="B190" s="25" t="s">
        <v>858</v>
      </c>
      <c r="C190" s="25">
        <v>5.2623999999999997E-2</v>
      </c>
      <c r="D190" s="25" t="str">
        <f t="shared" si="10"/>
        <v>0-50</v>
      </c>
      <c r="E190" s="25">
        <f t="shared" si="11"/>
        <v>287</v>
      </c>
    </row>
    <row r="191" spans="1:5" ht="43.5" x14ac:dyDescent="0.35">
      <c r="A191" s="25" t="s">
        <v>241</v>
      </c>
      <c r="B191" s="25" t="s">
        <v>699</v>
      </c>
      <c r="C191" s="25">
        <v>2.8809999999999999E-2</v>
      </c>
      <c r="D191" s="25" t="str">
        <f t="shared" si="10"/>
        <v>0-50</v>
      </c>
      <c r="E191" s="25">
        <f t="shared" si="11"/>
        <v>47</v>
      </c>
    </row>
    <row r="192" spans="1:5" x14ac:dyDescent="0.35">
      <c r="A192" s="25" t="s">
        <v>246</v>
      </c>
      <c r="B192" s="25" t="s">
        <v>703</v>
      </c>
      <c r="C192" s="25">
        <v>1.7489999999999999E-2</v>
      </c>
      <c r="D192" s="25" t="str">
        <f t="shared" si="10"/>
        <v>0-50</v>
      </c>
      <c r="E192" s="25">
        <f t="shared" si="11"/>
        <v>45</v>
      </c>
    </row>
    <row r="193" spans="1:5" ht="29" x14ac:dyDescent="0.35">
      <c r="A193" s="25" t="s">
        <v>465</v>
      </c>
      <c r="B193" s="25" t="s">
        <v>887</v>
      </c>
      <c r="C193" s="25">
        <v>6.6490000000000004E-3</v>
      </c>
      <c r="D193" s="25" t="str">
        <f t="shared" si="10"/>
        <v>0-50</v>
      </c>
      <c r="E193" s="25">
        <f t="shared" si="11"/>
        <v>36</v>
      </c>
    </row>
    <row r="194" spans="1:5" x14ac:dyDescent="0.35">
      <c r="A194" s="25" t="s">
        <v>493</v>
      </c>
      <c r="B194" s="25" t="s">
        <v>911</v>
      </c>
      <c r="C194" s="25">
        <v>4.4560000000000002E-2</v>
      </c>
      <c r="D194" s="25" t="str">
        <f t="shared" ref="D194:D201" si="12">IF(C194&lt;=50,"0-50","&gt;50")</f>
        <v>0-50</v>
      </c>
      <c r="E194" s="25">
        <f t="shared" ref="E194:E201" si="13">IFERROR(VALUE(SUBSTITUTE(SUBSTITUTE(B194,"$",""),",","")),0)</f>
        <v>18</v>
      </c>
    </row>
    <row r="195" spans="1:5" x14ac:dyDescent="0.35">
      <c r="A195" s="25" t="s">
        <v>327</v>
      </c>
      <c r="B195" s="25" t="s">
        <v>751</v>
      </c>
      <c r="C195" s="25">
        <v>1.69</v>
      </c>
      <c r="D195" s="25" t="str">
        <f t="shared" si="12"/>
        <v>0-50</v>
      </c>
      <c r="E195" s="25">
        <f t="shared" si="13"/>
        <v>0</v>
      </c>
    </row>
    <row r="196" spans="1:5" x14ac:dyDescent="0.35">
      <c r="A196" s="25" t="s">
        <v>444</v>
      </c>
      <c r="B196" s="25" t="s">
        <v>751</v>
      </c>
      <c r="C196" s="25">
        <v>0.73839999999999995</v>
      </c>
      <c r="D196" s="25" t="str">
        <f t="shared" si="12"/>
        <v>0-50</v>
      </c>
      <c r="E196" s="25">
        <f t="shared" si="13"/>
        <v>0</v>
      </c>
    </row>
    <row r="197" spans="1:5" x14ac:dyDescent="0.35">
      <c r="A197" s="25" t="s">
        <v>304</v>
      </c>
      <c r="B197" s="25" t="s">
        <v>751</v>
      </c>
      <c r="C197" s="25">
        <v>0.1065</v>
      </c>
      <c r="D197" s="25" t="str">
        <f t="shared" si="12"/>
        <v>0-50</v>
      </c>
      <c r="E197" s="25">
        <f t="shared" si="13"/>
        <v>0</v>
      </c>
    </row>
    <row r="198" spans="1:5" x14ac:dyDescent="0.35">
      <c r="A198" s="25" t="s">
        <v>423</v>
      </c>
      <c r="B198" s="25" t="s">
        <v>751</v>
      </c>
      <c r="C198" s="25">
        <v>8.6726999999999999E-2</v>
      </c>
      <c r="D198" s="25" t="str">
        <f t="shared" si="12"/>
        <v>0-50</v>
      </c>
      <c r="E198" s="25">
        <f t="shared" si="13"/>
        <v>0</v>
      </c>
    </row>
    <row r="199" spans="1:5" x14ac:dyDescent="0.35">
      <c r="A199" s="25" t="s">
        <v>341</v>
      </c>
      <c r="B199" s="25" t="s">
        <v>751</v>
      </c>
      <c r="C199" s="25">
        <v>2.5340000000000001E-2</v>
      </c>
      <c r="D199" s="25" t="str">
        <f t="shared" si="12"/>
        <v>0-50</v>
      </c>
      <c r="E199" s="25">
        <f t="shared" si="13"/>
        <v>0</v>
      </c>
    </row>
    <row r="200" spans="1:5" ht="29" x14ac:dyDescent="0.35">
      <c r="A200" s="25" t="s">
        <v>478</v>
      </c>
      <c r="B200" s="25" t="s">
        <v>751</v>
      </c>
      <c r="C200" s="25">
        <v>6.391E-3</v>
      </c>
      <c r="D200" s="25" t="str">
        <f t="shared" si="12"/>
        <v>0-50</v>
      </c>
      <c r="E200" s="25">
        <f t="shared" si="13"/>
        <v>0</v>
      </c>
    </row>
    <row r="201" spans="1:5" x14ac:dyDescent="0.35">
      <c r="A201" s="25" t="s">
        <v>480</v>
      </c>
      <c r="B201" s="25" t="s">
        <v>751</v>
      </c>
      <c r="C201" s="25">
        <v>3.8420000000000001E-4</v>
      </c>
      <c r="D201" s="25" t="str">
        <f t="shared" si="12"/>
        <v>0-50</v>
      </c>
      <c r="E201" s="25">
        <f t="shared" si="13"/>
        <v>0</v>
      </c>
    </row>
  </sheetData>
  <autoFilter ref="A1:E201" xr:uid="{F4CB40F4-2F90-422B-97A5-20A3CE2ACA98}">
    <sortState xmlns:xlrd2="http://schemas.microsoft.com/office/spreadsheetml/2017/richdata2" ref="A2:E201">
      <sortCondition descending="1" ref="E1:E201"/>
    </sortState>
  </autoFilter>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Raw data</vt:lpstr>
      <vt:lpstr>KPI Dashboard (Task 1)</vt:lpstr>
      <vt:lpstr>Analysis + Chart (Task 2)</vt:lpstr>
      <vt:lpstr>Price Change Analysis (Task 3)</vt:lpstr>
      <vt:lpstr>Liquidity Analysis (Task 4)</vt:lpstr>
      <vt:lpstr> Coin Comparison (Task 5) </vt:lpstr>
      <vt:lpstr>Liquidity Pie (Task 6)</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ABHI..</dc:creator>
  <cp:lastModifiedBy>ABHI..</cp:lastModifiedBy>
  <dcterms:created xsi:type="dcterms:W3CDTF">2026-04-01T16:00:11Z</dcterms:created>
  <dcterms:modified xsi:type="dcterms:W3CDTF">2026-05-23T17:31:40Z</dcterms:modified>
</cp:coreProperties>
</file>